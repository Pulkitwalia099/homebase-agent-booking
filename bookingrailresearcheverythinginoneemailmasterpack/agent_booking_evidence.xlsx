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180599bede4867" /></Relationships>
</file>

<file path=xl/workbook.xml><?xml version="1.0" encoding="utf-8"?>
<x:workbook xmlns:x="http://schemas.openxmlformats.org/spreadsheetml/2006/main">
  <x:sheets>
    <x:sheet xmlns:r="http://schemas.openxmlformats.org/officeDocument/2006/relationships" name="Findings" sheetId="1" r:id="R5ab32af9fc1746c0"/>
    <x:sheet xmlns:r="http://schemas.openxmlformats.org/officeDocument/2006/relationships" name="Categories" sheetId="2" r:id="R1e48566c4f29485a"/>
    <x:sheet xmlns:r="http://schemas.openxmlformats.org/officeDocument/2006/relationships" name="Observation timing" sheetId="3" r:id="R939e4e432fdc465e"/>
    <x:sheet xmlns:r="http://schemas.openxmlformats.org/officeDocument/2006/relationships" name="Economics" sheetId="4" r:id="R7f917d088a9e41aa"/>
    <x:sheet xmlns:r="http://schemas.openxmlformats.org/officeDocument/2006/relationships" name="API access" sheetId="5" r:id="Rfcf2ac24af4d41f1"/>
    <x:sheet xmlns:r="http://schemas.openxmlformats.org/officeDocument/2006/relationships" name="Live observations" sheetId="6" r:id="R48b890b66d7b4731"/>
    <x:sheet xmlns:r="http://schemas.openxmlformats.org/officeDocument/2006/relationships" name="Live detail" sheetId="7" r:id="R92e53dc9733a4a36"/>
    <x:sheet xmlns:r="http://schemas.openxmlformats.org/officeDocument/2006/relationships" name="Requirements" sheetId="8" r:id="R09f15ac94e664256"/>
    <x:sheet xmlns:r="http://schemas.openxmlformats.org/officeDocument/2006/relationships" name="API detail" sheetId="9" r:id="Rb1182e6cb05042c3"/>
    <x:sheet xmlns:r="http://schemas.openxmlformats.org/officeDocument/2006/relationships" name="History audit" sheetId="10" r:id="R65f774de35b64e2d"/>
    <x:sheet xmlns:r="http://schemas.openxmlformats.org/officeDocument/2006/relationships" name="Sources" sheetId="11" r:id="Rde9d31c4ae3f44be"/>
    <x:sheet xmlns:r="http://schemas.openxmlformats.org/officeDocument/2006/relationships" name="Methodology" sheetId="12" r:id="R8441cc5e793e47f0"/>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yyyy-mm-dd"/>
    <x:numFmt numFmtId="202" formatCode="0.000"/>
    <x:numFmt numFmtId="203" formatCode="yyyy-mm-dd hh:mm:ss.000"/>
    <x:numFmt numFmtId="204" formatCode="0.0%"/>
    <x:numFmt numFmtId="205" formatCode="#,##0"/>
    <x:numFmt numFmtId="206" formatCode="$0.00;($0.00);$0.00"/>
  </x:numFmts>
  <x:fonts count="7">
    <x:font>
      <x:sz val="11"/>
      <x:name val="Carlito"/>
    </x:font>
    <x:font>
      <x:sz val="10"/>
      <x:color rgb="FF203042"/>
      <x:name val="Arial"/>
    </x:font>
    <x:font>
      <x:b/>
      <x:sz val="14"/>
      <x:color rgb="FF203C59"/>
      <x:name val="Arial"/>
    </x:font>
    <x:font>
      <x:i/>
      <x:sz val="10"/>
      <x:color rgb="FF586779"/>
      <x:name val="Arial"/>
    </x:font>
    <x:font>
      <x:b/>
      <x:sz val="10"/>
      <x:color rgb="FFFFFFFF"/>
      <x:name val="Arial"/>
    </x:font>
    <x:font>
      <x:sz val="10"/>
      <x:color rgb="FF0000FF"/>
      <x:name val="Arial"/>
    </x:font>
    <x:font>
      <x:b/>
      <x:sz val="10"/>
      <x:color rgb="FF203C59"/>
      <x:name val="Arial"/>
    </x:font>
  </x:fonts>
  <x:fills count="6">
    <x:fill>
      <x:patternFill patternType="none"/>
    </x:fill>
    <x:fill>
      <x:patternFill patternType="gray125"/>
    </x:fill>
    <x:fill>
      <x:patternFill patternType="solid">
        <x:fgColor rgb="FF203C59"/>
      </x:patternFill>
    </x:fill>
    <x:fill>
      <x:patternFill patternType="solid">
        <x:fgColor rgb="FFEEF3F7"/>
      </x:patternFill>
    </x:fill>
    <x:fill>
      <x:patternFill patternType="solid">
        <x:fgColor rgb="FFFFF2CD"/>
      </x:patternFill>
    </x:fill>
    <x:fill>
      <x:patternFill patternType="solid">
        <x:fgColor rgb="FFDCE6EF"/>
      </x:patternFill>
    </x:fill>
  </x:fills>
  <x:borders count="2">
    <x:border/>
    <x:border>
      <x:bottom style="thin">
        <x:color rgb="FF203C59"/>
      </x:bottom>
    </x:border>
  </x:borders>
  <x:cellStyleXfs count="1">
    <x:xf numFmtId="0" fontId="0" fillId="0" borderId="0"/>
  </x:cellStyleXfs>
  <x:cellXfs count="4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0"/>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right" vertical="top" wrapText="1"/>
    </x:xf>
    <x:xf numFmtId="0" fontId="1" fillId="0" borderId="0" xfId="0" applyNumberFormat="1" applyFont="1" applyFill="1" applyBorder="1" applyAlignment="1">
      <x:alignment horizontal="righ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204" fontId="5" fillId="4" borderId="0" xfId="0" applyNumberFormat="1" applyFont="1" applyFill="1" applyBorder="1" applyAlignment="1">
      <x:alignment vertical="top" wrapText="1"/>
    </x:xf>
    <x:xf numFmtId="205" fontId="1" fillId="3" borderId="0"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6" fontId="1" fillId="3"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0" fontId="5"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37e72885bc4eb9" /><Relationship Type="http://schemas.openxmlformats.org/officeDocument/2006/relationships/theme" Target="/xl/theme/theme1.xml" Id="R8968fde89fbc4096" /><Relationship Type="http://schemas.microsoft.com/office/2022/11/relationships/FeaturePropertyBag" Target="/xl/featurePropertyBag/featurePropertyBag.xml" Id="R2723626526e84d9b" /><Relationship Type="http://schemas.openxmlformats.org/officeDocument/2006/relationships/sharedStrings" Target="/xl/sharedStrings.xml" Id="R4b33498814934b5b" /><Relationship Type="http://schemas.openxmlformats.org/officeDocument/2006/relationships/worksheet" Target="/xl/worksheets/sheet1.xml" Id="R5ab32af9fc1746c0" /><Relationship Type="http://schemas.openxmlformats.org/officeDocument/2006/relationships/worksheet" Target="/xl/worksheets/sheet2.xml" Id="R1e48566c4f29485a" /><Relationship Type="http://schemas.openxmlformats.org/officeDocument/2006/relationships/worksheet" Target="/xl/worksheets/sheet3.xml" Id="R939e4e432fdc465e" /><Relationship Type="http://schemas.openxmlformats.org/officeDocument/2006/relationships/worksheet" Target="/xl/worksheets/sheet4.xml" Id="R7f917d088a9e41aa" /><Relationship Type="http://schemas.openxmlformats.org/officeDocument/2006/relationships/worksheet" Target="/xl/worksheets/sheet5.xml" Id="Rfcf2ac24af4d41f1" /><Relationship Type="http://schemas.openxmlformats.org/officeDocument/2006/relationships/worksheet" Target="/xl/worksheets/sheet6.xml" Id="R48b890b66d7b4731" /><Relationship Type="http://schemas.openxmlformats.org/officeDocument/2006/relationships/worksheet" Target="/xl/worksheets/sheet7.xml" Id="R92e53dc9733a4a36" /><Relationship Type="http://schemas.openxmlformats.org/officeDocument/2006/relationships/worksheet" Target="/xl/worksheets/sheet8.xml" Id="R09f15ac94e664256" /><Relationship Type="http://schemas.openxmlformats.org/officeDocument/2006/relationships/worksheet" Target="/xl/worksheets/sheet9.xml" Id="Rb1182e6cb05042c3" /><Relationship Type="http://schemas.openxmlformats.org/officeDocument/2006/relationships/worksheet" Target="/xl/worksheets/sheet10.xml" Id="R65f774de35b64e2d" /><Relationship Type="http://schemas.openxmlformats.org/officeDocument/2006/relationships/worksheet" Target="/xl/worksheets/sheet11.xml" Id="Rde9d31c4ae3f44be" /><Relationship Type="http://schemas.openxmlformats.org/officeDocument/2006/relationships/worksheet" Target="/xl/worksheets/sheet12.xml" Id="R8441cc5e793e47f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2" name="FindingsData" displayName="FindingsData" ref="A5:D21" headerRowCount="1" totalsRowCount="0" totalsRowShown="0">
  <x:autoFilter ref="A5:D21"/>
  <x:tableColumns count="4">
    <x:tableColumn id="1" name="Finding / metric"/>
    <x:tableColumn id="2" name="Result"/>
    <x:tableColumn id="3" name="Evidence class"/>
    <x:tableColumn id="4" name="Meaning / next condition"/>
  </x:tableColumns>
  <x:tableStyleInfo name="TableStyleMedium2" showFirstColumn="0" showLastColumn="0" showRowStripes="0" showColumnStripes="0"/>
</x:table>
</file>

<file path=xl/tables/table2.xml><?xml version="1.0" encoding="utf-8"?>
<x:table xmlns:x="http://schemas.openxmlformats.org/spreadsheetml/2006/main" id="1" name="CategoriesData" displayName="CategoriesData" ref="A5:AD15" headerRowCount="1" totalsRowCount="0" totalsRowShown="0">
  <x:autoFilter ref="A5:AD15"/>
  <x:tableColumns count="30">
    <x:tableColumn id="1" name="Testing priority"/>
    <x:tableColumn id="2" name="Category"/>
    <x:tableColumn id="3" name="Bounded service/customer scope"/>
    <x:tableColumn id="4" name="S: scope (1–5)"/>
    <x:tableColumn id="5" name="P: price (1–5)"/>
    <x:tableColumn id="6" name="F: cadence opportunity (1–5)"/>
    <x:tableColumn id="7" name="I: integration (1–5)"/>
    <x:tableColumn id="8" name="Published example (USD)"/>
    <x:tableColumn id="9" name="Category typical ticket (USD)"/>
    <x:tableColumn id="10" name="Price evidence and limitations"/>
    <x:tableColumn id="11" name="Cadence evidence and limitations"/>
    <x:tableColumn id="12" name="Relevant software"/>
    <x:tableColumn id="13" name="Software evidence scope"/>
    <x:tableColumn id="14" name="Operational constraints"/>
    <x:tableColumn id="15" name="Hypothesis to test"/>
    <x:tableColumn id="16" name="Falsification condition"/>
    <x:tableColumn id="17" name="90-day requests"/>
    <x:tableColumn id="18" name="90-day unique users"/>
    <x:tableColumn id="19" name="No-phone completion share"/>
    <x:tableColumn id="20" name="Completion with phone share"/>
    <x:tableColumn id="21" name="Phone-required share"/>
    <x:tableColumn id="22" name="Friction abandonment share"/>
    <x:tableColumn id="23" name="Repeat agent-request rate"/>
    <x:tableColumn id="24" name="Missing-rail fallback count"/>
    <x:tableColumn id="25" name="Metric availability explanation"/>
    <x:tableColumn id="26" name="Weighted total"/>
    <x:tableColumn id="27" name="Why no weighted total"/>
    <x:tableColumn id="28" name="Rank/score evidence type"/>
    <x:tableColumn id="29" name="Price source URL"/>
    <x:tableColumn id="30" name="Access date"/>
  </x:tableColumns>
  <x:tableStyleInfo name="TableStyleMedium2" showFirstColumn="0" showLastColumn="0" showRowStripes="0" showColumnStripes="0"/>
</x:table>
</file>

<file path=xl/tables/table3.xml><?xml version="1.0" encoding="utf-8"?>
<x:table xmlns:x="http://schemas.openxmlformats.org/spreadsheetml/2006/main" id="5" name="ObservationtimingData" displayName="ObservationtimingData" ref="A5:H10" headerRowCount="1" totalsRowCount="0" totalsRowShown="0">
  <x:autoFilter ref="A5:H10"/>
  <x:tableColumns count="8">
    <x:tableColumn id="1" name="Category"/>
    <x:tableColumn id="2" name="Core n"/>
    <x:tableColumn id="3" name="Minimum (seconds)"/>
    <x:tableColumn id="4" name="Median (seconds)"/>
    <x:tableColumn id="5" name="Maximum (seconds)"/>
    <x:tableColumn id="6" name="Time to confirmed booking"/>
    <x:tableColumn id="7" name="Booking success rate"/>
    <x:tableColumn id="8" name="Interpretation"/>
  </x:tableColumns>
  <x:tableStyleInfo name="TableStyleMedium2" showFirstColumn="0" showLastColumn="0" showRowStripes="0" showColumnStripes="0"/>
</x:table>
</file>

<file path=xl/tables/table4.xml><?xml version="1.0" encoding="utf-8"?>
<x:table xmlns:x="http://schemas.openxmlformats.org/spreadsheetml/2006/main" id="9" name="EconomicsData" displayName="EconomicsData" ref="A5:D29" headerRowCount="1" totalsRowCount="0" totalsRowShown="0">
  <x:autoFilter ref="A5:D29"/>
  <x:tableColumns count="4">
    <x:tableColumn id="1" name="Driver / result"/>
    <x:tableColumn id="2" name="Value"/>
    <x:tableColumn id="3" name="Unit"/>
    <x:tableColumn id="4" name="Meaning / limitation"/>
  </x:tableColumns>
  <x:tableStyleInfo name="TableStyleMedium2" showFirstColumn="0" showLastColumn="0" showRowStripes="0" showColumnStripes="0"/>
</x:table>
</file>

<file path=xl/tables/table5.xml><?xml version="1.0" encoding="utf-8"?>
<x:table xmlns:x="http://schemas.openxmlformats.org/spreadsheetml/2006/main" id="2" name="APIaccessData" displayName="APIaccessData" ref="A5:L23" headerRowCount="1" totalsRowCount="0" totalsRowShown="0">
  <x:autoFilter ref="A5:L23"/>
  <x:tableColumns count="12">
    <x:tableColumn id="1" name="Platform / route"/>
    <x:tableColumn id="2" name="Segments"/>
    <x:tableColumn id="3" name="Documentary feasibility"/>
    <x:tableColumn id="4" name="Production access and gate"/>
    <x:tableColumn id="5" name="Availability evidence"/>
    <x:tableColumn id="6" name="Write and commercial offer"/>
    <x:tableColumn id="7" name="Unverified functions / limits"/>
    <x:tableColumn id="8" name="Consistency and lifecycle"/>
    <x:tableColumn id="9" name="Critical caveat"/>
    <x:tableColumn id="10" name="Evidence reviewed"/>
    <x:tableColumn id="11" name="Source IDs"/>
    <x:tableColumn id="12" name="Execution status"/>
  </x:tableColumns>
  <x:tableStyleInfo name="TableStyleMedium2" showFirstColumn="0" showLastColumn="0" showRowStripes="0" showColumnStripes="0"/>
</x:table>
</file>

<file path=xl/tables/table6.xml><?xml version="1.0" encoding="utf-8"?>
<x:table xmlns:x="http://schemas.openxmlformats.org/spreadsheetml/2006/main" id="3" name="LiveobservationsData" displayName="LiveobservationsData" ref="A5:R21" headerRowCount="1" totalsRowCount="0" totalsRowShown="0">
  <x:autoFilter ref="A5:R21"/>
  <x:tableColumns count="18">
    <x:tableColumn id="1" name="Attempt ID"/>
    <x:tableColumn id="2" name="Sample role"/>
    <x:tableColumn id="3" name="Category"/>
    <x:tableColumn id="4" name="Provider"/>
    <x:tableColumn id="5" name="Start UTC"/>
    <x:tableColumn id="6" name="Stop UTC"/>
    <x:tableColumn id="7" name="Calculated elapsed (seconds)"/>
    <x:tableColumn id="8" name="Recorded elapsed (seconds)"/>
    <x:tableColumn id="9" name="Observed stop state / gate"/>
    <x:tableColumn id="10" name="Price evidence"/>
    <x:tableColumn id="11" name="Availability evidence"/>
    <x:tableColumn id="12" name="Channels used"/>
    <x:tableColumn id="13" name="Provider / booking URLs"/>
    <x:tableColumn id="14" name="Source access date"/>
    <x:tableColumn id="15" name="Phone necessity"/>
    <x:tableColumn id="16" name="Booking outcome"/>
    <x:tableColumn id="17" name="Timing caveat"/>
    <x:tableColumn id="18" name="API hypothesis"/>
  </x:tableColumns>
  <x:tableStyleInfo name="TableStyleMedium2" showFirstColumn="0" showLastColumn="0" showRowStripes="0" showColumnStripes="0"/>
</x:table>
</file>

<file path=xl/tables/table7.xml><?xml version="1.0" encoding="utf-8"?>
<x:table xmlns:x="http://schemas.openxmlformats.org/spreadsheetml/2006/main" id="4" name="LivedetailData" displayName="LivedetailData" ref="A5:D652" headerRowCount="1" totalsRowCount="0" totalsRowShown="0">
  <x:autoFilter ref="A5:D652"/>
  <x:tableColumns count="4">
    <x:tableColumn id="1" name="Attempt ID"/>
    <x:tableColumn id="2" name="Provider / scope"/>
    <x:tableColumn id="3" name="Evidence field"/>
    <x:tableColumn id="4" name="Recorded evidence"/>
  </x:tableColumns>
  <x:tableStyleInfo name="TableStyleMedium2" showFirstColumn="0" showLastColumn="0" showRowStripes="0" showColumnStripes="0"/>
</x:table>
</file>

<file path=xl/tables/table8.xml><?xml version="1.0" encoding="utf-8"?>
<x:table xmlns:x="http://schemas.openxmlformats.org/spreadsheetml/2006/main" id="6" name="RequirementsData" displayName="RequirementsData" ref="A5:E20" headerRowCount="1" totalsRowCount="0" totalsRowShown="0">
  <x:autoFilter ref="A5:E20"/>
  <x:tableColumns count="5">
    <x:tableColumn id="1" name="ID"/>
    <x:tableColumn id="2" name="Priority and requirement"/>
    <x:tableColumn id="3" name="Minimum implementation"/>
    <x:tableColumn id="4" name="Required acceptance evidence"/>
    <x:tableColumn id="5" name="Test status"/>
  </x:tableColumns>
  <x:tableStyleInfo name="TableStyleMedium2" showFirstColumn="0" showLastColumn="0" showRowStripes="0" showColumnStripes="0"/>
</x:table>
</file>

<file path=xl/tables/table9.xml><?xml version="1.0" encoding="utf-8"?>
<x:table xmlns:x="http://schemas.openxmlformats.org/spreadsheetml/2006/main" id="7" name="APIdetailData" displayName="APIdetailData" ref="A5:C94" headerRowCount="1" totalsRowCount="0" totalsRowShown="0">
  <x:autoFilter ref="A5:C94"/>
  <x:tableColumns count="3">
    <x:tableColumn id="1" name="Evidence stream"/>
    <x:tableColumn id="2" name="Section / platform"/>
    <x:tableColumn id="3" name="Technical finding"/>
  </x:tableColumns>
  <x:tableStyleInfo name="TableStyleMedium2" showFirstColumn="0" showLastColumn="0" showRowStripes="0" showColumnStripes="0"/>
</x:table>
</file>

<file path=xl/tables/table10.xml><?xml version="1.0" encoding="utf-8"?>
<x:table xmlns:x="http://schemas.openxmlformats.org/spreadsheetml/2006/main" id="8" name="HistoryauditData" displayName="HistoryauditData" ref="A5:D24" headerRowCount="1" totalsRowCount="0" totalsRowShown="0">
  <x:autoFilter ref="A5:D24"/>
  <x:tableColumns count="4">
    <x:tableColumn id="1" name="Type"/>
    <x:tableColumn id="2" name="Metric / episode"/>
    <x:tableColumn id="3" name="Value"/>
    <x:tableColumn id="4" name="Definition / limitation"/>
  </x:tableColumns>
  <x:tableStyleInfo name="TableStyleMedium2" showFirstColumn="0" showLastColumn="0" showRowStripes="0" showColumnStripes="0"/>
</x:table>
</file>

<file path=xl/tables/table11.xml><?xml version="1.0" encoding="utf-8"?>
<x:table xmlns:x="http://schemas.openxmlformats.org/spreadsheetml/2006/main" id="10" name="SourcesData" displayName="SourcesData" ref="A5:F137" headerRowCount="1" totalsRowCount="0" totalsRowShown="0">
  <x:autoFilter ref="A5:F137"/>
  <x:tableColumns count="6">
    <x:tableColumn id="1" name="Source ID"/>
    <x:tableColumn id="2" name="Title / description"/>
    <x:tableColumn id="3" name="Verified URL / source"/>
    <x:tableColumn id="4" name="Access date"/>
    <x:tableColumn id="5" name="Evidence type"/>
    <x:tableColumn id="6" name="Use and limitations"/>
  </x:tableColumns>
  <x:tableStyleInfo name="TableStyleMedium2" showFirstColumn="0" showLastColumn="0" showRowStripes="0" showColumnStripes="0"/>
</x:table>
</file>

<file path=xl/tables/table12.xml><?xml version="1.0" encoding="utf-8"?>
<x:table xmlns:x="http://schemas.openxmlformats.org/spreadsheetml/2006/main" id="11" name="MethodologyData" displayName="MethodologyData" ref="A5:C131" headerRowCount="1" totalsRowCount="0" totalsRowShown="0">
  <x:autoFilter ref="A5:C131"/>
  <x:tableColumns count="3">
    <x:tableColumn id="1" name="Evidence stream"/>
    <x:tableColumn id="2" name="Section"/>
    <x:tableColumn id="3" name="Context / definition"/>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0490324bf444ff" /></Relationships>
</file>

<file path=xl/worksheets/_rels/sheet2.xml.rels>&#65279;<?xml version="1.0" encoding="utf-8"?><Relationships xmlns="http://schemas.openxmlformats.org/package/2006/relationships"><Relationship Type="http://schemas.openxmlformats.org/officeDocument/2006/relationships/table" Target="/xl/tables/table2.xml" Id="R650e287bdced46d6" /></Relationships>
</file>

<file path=xl/worksheets/_rels/sheet3.xml.rels>&#65279;<?xml version="1.0" encoding="utf-8"?><Relationships xmlns="http://schemas.openxmlformats.org/package/2006/relationships"><Relationship Type="http://schemas.openxmlformats.org/officeDocument/2006/relationships/table" Target="/xl/tables/table3.xml" Id="Rc30a19b0604b4be3" /></Relationships>
</file>

<file path=xl/worksheets/_rels/sheet4.xml.rels>&#65279;<?xml version="1.0" encoding="utf-8"?><Relationships xmlns="http://schemas.openxmlformats.org/package/2006/relationships"><Relationship Type="http://schemas.openxmlformats.org/officeDocument/2006/relationships/table" Target="/xl/tables/table4.xml" Id="R7d8cf1d179ad4ec9" /></Relationships>
</file>

<file path=xl/worksheets/_rels/sheet5.xml.rels>&#65279;<?xml version="1.0" encoding="utf-8"?><Relationships xmlns="http://schemas.openxmlformats.org/package/2006/relationships"><Relationship Type="http://schemas.openxmlformats.org/officeDocument/2006/relationships/table" Target="/xl/tables/table5.xml" Id="R1a4cdebfa33b4230" /></Relationships>
</file>

<file path=xl/worksheets/_rels/sheet6.xml.rels>&#65279;<?xml version="1.0" encoding="utf-8"?><Relationships xmlns="http://schemas.openxmlformats.org/package/2006/relationships"><Relationship Type="http://schemas.openxmlformats.org/officeDocument/2006/relationships/table" Target="/xl/tables/table6.xml" Id="R97a46a68799c4fef" /></Relationships>
</file>

<file path=xl/worksheets/_rels/sheet7.xml.rels>&#65279;<?xml version="1.0" encoding="utf-8"?><Relationships xmlns="http://schemas.openxmlformats.org/package/2006/relationships"><Relationship Type="http://schemas.openxmlformats.org/officeDocument/2006/relationships/table" Target="/xl/tables/table7.xml" Id="Rca001c5a46ac42dc" /></Relationships>
</file>

<file path=xl/worksheets/_rels/sheet8.xml.rels>&#65279;<?xml version="1.0" encoding="utf-8"?><Relationships xmlns="http://schemas.openxmlformats.org/package/2006/relationships"><Relationship Type="http://schemas.openxmlformats.org/officeDocument/2006/relationships/table" Target="/xl/tables/table8.xml" Id="Rb29d72c1d92b485f" /></Relationships>
</file>

<file path=xl/worksheets/_rels/sheet9.xml.rels>&#65279;<?xml version="1.0" encoding="utf-8"?><Relationships xmlns="http://schemas.openxmlformats.org/package/2006/relationships"><Relationship Type="http://schemas.openxmlformats.org/officeDocument/2006/relationships/table" Target="/xl/tables/table9.xml" Id="Raed7b9a9fcbe407f" /></Relationships>
</file>

<file path=xl/worksheets/_rels/sheet10.xml.rels>&#65279;<?xml version="1.0" encoding="utf-8"?><Relationships xmlns="http://schemas.openxmlformats.org/package/2006/relationships"><Relationship Type="http://schemas.openxmlformats.org/officeDocument/2006/relationships/table" Target="/xl/tables/table10.xml" Id="Rda6ccffb2fe4409c" /></Relationships>
</file>

<file path=xl/worksheets/_rels/sheet11.xml.rels>&#65279;<?xml version="1.0" encoding="utf-8"?><Relationships xmlns="http://schemas.openxmlformats.org/package/2006/relationships"><Relationship Type="http://schemas.openxmlformats.org/officeDocument/2006/relationships/table" Target="/xl/tables/table11.xml" Id="R876be0cde8314e25" /></Relationships>
</file>

<file path=xl/worksheets/_rels/sheet12.xml.rels>&#65279;<?xml version="1.0" encoding="utf-8"?><Relationships xmlns="http://schemas.openxmlformats.org/package/2006/relationships"><Relationship Type="http://schemas.openxmlformats.org/officeDocument/2006/relationships/table" Target="/xl/tables/table12.xml" Id="R0c00a179606b4f9d" /></Relationships>
</file>

<file path=xl/worksheets/sheet1.xml><?xml version="1.0" encoding="utf-8"?>
<x:worksheet xmlns:x="http://schemas.openxmlformats.org/spreadsheetml/2006/main">
  <x:sheetPr>
    <x:tabColor rgb="FF203C59"/>
  </x:sheetPr>
  <x:sheetViews>
    <x:sheetView showGridLines="0" workbookViewId="0">
      <x:pane ySplit="5" topLeftCell="A6" activePane="bottomLeft" state="frozen"/>
    </x:sheetView>
  </x:sheetViews>
  <x:sheetFormatPr defaultRowHeight="15"/>
  <x:cols>
    <x:col min="1" max="1" width="28" hidden="0" customWidth="1"/>
    <x:col min="2" max="2" width="47" hidden="0" customWidth="1"/>
    <x:col min="3" max="3" width="21" hidden="0" customWidth="1"/>
    <x:col min="4" max="4" width="66" hidden="0" customWidth="1"/>
  </x:cols>
  <x:sheetData>
    <x:row r="1">
      <x:c r="A1" s="1"/>
      <x:c r="B1" s="1"/>
      <x:c r="C1" s="1"/>
      <x:c r="D1" s="1"/>
    </x:row>
    <x:row r="2" ht="26" customHeight="1">
      <x:c r="A2" s="3" t="str">
        <x:v>Agent booking middleware evidence</x:v>
      </x:c>
      <x:c r="B2" s="4"/>
      <x:c r="C2" s="4"/>
      <x:c r="D2" s="4"/>
    </x:row>
    <x:row r="3">
      <x:c r="A3" s="6" t="str">
        <x:v>Decision support as of 4 October 2026. Measured sample, documentation, judgment and assumptions remain separate.</x:v>
      </x:c>
      <x:c r="B3" s="1"/>
      <x:c r="C3" s="1"/>
      <x:c r="D3" s="1"/>
    </x:row>
    <x:row r="4">
      <x:c r="A4" s="1"/>
      <x:c r="B4" s="1"/>
      <x:c r="C4" s="1"/>
      <x:c r="D4" s="1"/>
    </x:row>
    <x:row r="5" ht="42" customHeight="1">
      <x:c r="A5" s="12" t="str">
        <x:v>Finding / metric</x:v>
      </x:c>
      <x:c r="B5" s="12" t="str">
        <x:v>Result</x:v>
      </x:c>
      <x:c r="C5" s="12" t="str">
        <x:v>Evidence class</x:v>
      </x:c>
      <x:c r="D5" s="12" t="str">
        <x:v>Meaning / next condition</x:v>
      </x:c>
    </x:row>
    <x:row r="6" ht="51" customHeight="1">
      <x:c r="A6" s="13" t="str">
        <x:v>Recommendation</x:v>
      </x:c>
      <x:c r="B6" s="13" t="str">
        <x:v>Test a narrow permissioned rail for existing cleaning-customer exceptions</x:v>
      </x:c>
      <x:c r="C6" s="13" t="str">
        <x:v>Analyst judgment</x:v>
      </x:c>
      <x:c r="D6" s="13" t="str">
        <x:v>One platform, three opted-in operators, genuine distribution and supplier-approved service/price. Stop if rights or genuine demand are missing.</x:v>
      </x:c>
    </x:row>
    <x:row r="7" ht="51" customHeight="1">
      <x:c r="A7" s="8" t="str">
        <x:v>Technical control</x:v>
      </x:c>
      <x:c r="B7" s="8" t="str">
        <x:v>Square-backed standard barber appointments</x:v>
      </x:c>
      <x:c r="C7" s="8" t="str">
        <x:v>Analyst judgment</x:v>
      </x:c>
      <x:c r="D7" s="8" t="str">
        <x:v>Use opted-in merchants and services with no nonzero cancellation fee; simpler integration does not establish business demand.</x:v>
      </x:c>
    </x:row>
    <x:row r="8" ht="38" customHeight="1">
      <x:c r="A8" s="13" t="str">
        <x:v>Research date</x:v>
      </x:c>
      <x:c r="B8" s="16" t="n">
        <x:v>46299</x:v>
      </x:c>
      <x:c r="C8" s="13" t="str">
        <x:v>Dated evidence</x:v>
      </x:c>
      <x:c r="D8" s="13" t="str">
        <x:v>Boston-oriented convenience sample and current public documentation</x:v>
      </x:c>
    </x:row>
    <x:row r="9" ht="34" customHeight="1">
      <x:c r="A9" s="8" t="str">
        <x:v>Category hypotheses</x:v>
      </x:c>
      <x:c r="B9" s="8" t="n">
        <x:v>10</x:v>
      </x:c>
      <x:c r="C9" s="8" t="str">
        <x:v>Judgment</x:v>
      </x:c>
      <x:c r="D9" s="8" t="str">
        <x:v>Testing priorities, not measured top-ten demand</x:v>
      </x:c>
    </x:row>
    <x:row r="10" ht="34" customHeight="1">
      <x:c r="A10" s="13" t="str">
        <x:v>API / distribution rows</x:v>
      </x:c>
      <x:c r="B10" s="13" t="n">
        <x:v>18</x:v>
      </x:c>
      <x:c r="C10" s="13" t="str">
        <x:v>Documented</x:v>
      </x:c>
      <x:c r="D10" s="13" t="str">
        <x:v>No API calls or merchant credentials provisioned</x:v>
      </x:c>
    </x:row>
    <x:row r="11" ht="38" customHeight="1">
      <x:c r="A11" s="8" t="str">
        <x:v>Core public-path observations</x:v>
      </x:c>
      <x:c r="B11" s="8" t="n">
        <x:v>15</x:v>
      </x:c>
      <x:c r="C11" s="8" t="str">
        <x:v>Measured sample</x:v>
      </x:c>
      <x:c r="D11" s="8" t="str">
        <x:v>Five selected categories × three provider paths; not a demand-selected top five</x:v>
      </x:c>
    </x:row>
    <x:row r="12" ht="34" customHeight="1">
      <x:c r="A12" s="13" t="str">
        <x:v>Extra observations</x:v>
      </x:c>
      <x:c r="B12" s="13" t="n">
        <x:v>1</x:v>
      </x:c>
      <x:c r="C12" s="13" t="str">
        <x:v>Measured sample</x:v>
      </x:c>
      <x:c r="D12" s="13" t="str">
        <x:v>Flagged separately and excluded from core timing denominator</x:v>
      </x:c>
    </x:row>
    <x:row r="13" ht="38" customHeight="1">
      <x:c r="A13" s="8" t="str">
        <x:v>Minimum requirements</x:v>
      </x:c>
      <x:c r="B13" s="8" t="n">
        <x:v>15</x:v>
      </x:c>
      <x:c r="C13" s="8" t="str">
        <x:v>Proposed specification</x:v>
      </x:c>
      <x:c r="D13" s="8" t="str">
        <x:v>13 P0 and 2 P1 with acceptance evidence; tests not performed</x:v>
      </x:c>
    </x:row>
    <x:row r="14" ht="38" customHeight="1">
      <x:c r="A14" s="13" t="str">
        <x:v>Retrieved / analyzed records</x:v>
      </x:c>
      <x:c r="B14" s="13" t="str">
        <x:v>103 / 102</x:v>
      </x:c>
      <x:c r="C14" s="13" t="str">
        <x:v>Measured bounded corpus</x:v>
      </x:c>
      <x:c r="D14" s="13" t="str">
        <x:v>One unrelated sensitive identity-text record excluded; only one user; incomplete retrieval</x:v>
      </x:c>
    </x:row>
    <x:row r="15" ht="38" customHeight="1">
      <x:c r="A15" s="8" t="str">
        <x:v>Strict booking requests observed</x:v>
      </x:c>
      <x:c r="B15" s="8" t="n">
        <x:v>0</x:v>
      </x:c>
      <x:c r="C15" s="8" t="str">
        <x:v>Measured bounded corpus</x:v>
      </x:c>
      <x:c r="D15" s="8" t="str">
        <x:v>Does not prove zero population demand</x:v>
      </x:c>
    </x:row>
    <x:row r="16" ht="38" customHeight="1">
      <x:c r="A16" s="13" t="str">
        <x:v>Confirmed provider bookings observed</x:v>
      </x:c>
      <x:c r="B16" s="13" t="n">
        <x:v>0</x:v>
      </x:c>
      <x:c r="C16" s="13" t="str">
        <x:v>Measured bounded corpus</x:v>
      </x:c>
      <x:c r="D16" s="13" t="str">
        <x:v>Live inspections also made no booking commits</x:v>
      </x:c>
    </x:row>
    <x:row r="17" ht="38" customHeight="1">
      <x:c r="A17" s="8" t="str">
        <x:v>Booking-adjacent history episodes</x:v>
      </x:c>
      <x:c r="B17" s="8" t="n">
        <x:v>3</x:v>
      </x:c>
      <x:c r="C17" s="8" t="str">
        <x:v>Measured bounded corpus</x:v>
      </x:c>
      <x:c r="D17" s="8" t="str">
        <x:v>Calendar-state cleanup, appointment-access guidance, adviser-route discovery</x:v>
      </x:c>
    </x:row>
    <x:row r="18" ht="38" customHeight="1">
      <x:c r="A18" s="13" t="str">
        <x:v>Demand / completion / phone / abandonment rates</x:v>
      </x:c>
      <x:c r="B18" s="13" t="str">
        <x:v>Unavailable</x:v>
      </x:c>
      <x:c r="C18" s="13" t="str">
        <x:v>Missing evidence</x:v>
      </x:c>
      <x:c r="D18" s="13" t="str">
        <x:v>No representative 90-day telemetry and no valid booking-outcome denominator</x:v>
      </x:c>
    </x:row>
    <x:row r="19" ht="38" customHeight="1">
      <x:c r="A19" s="8" t="str">
        <x:v>Weighted category score</x:v>
      </x:c>
      <x:c r="B19" s="8" t="str">
        <x:v>Not computed</x:v>
      </x:c>
      <x:c r="C19" s="8" t="str">
        <x:v>Method decision</x:v>
      </x:c>
      <x:c r="D19" s="8" t="str">
        <x:v>Ticket-size trust undefined; S/P/F/I judgments remain visible without a fabricated total</x:v>
      </x:c>
    </x:row>
    <x:row r="20" ht="38" customHeight="1">
      <x:c r="A20" s="13" t="str">
        <x:v>What an API can remove</x:v>
      </x:c>
      <x:c r="B20" s="13" t="str">
        <x:v>Navigation, structured input transfer, state reconciliation</x:v>
      </x:c>
      <x:c r="C20" s="13" t="str">
        <x:v>Counterfactual hypothesis</x:v>
      </x:c>
      <x:c r="D20" s="13" t="str">
        <x:v>It does not create staff capacity, diagnose unknown work, authorize purchase or guarantee provider acceptance</x:v>
      </x:c>
    </x:row>
    <x:row r="21" ht="38" customHeight="1">
      <x:c r="A21" s="8" t="str">
        <x:v>Main diligence question</x:v>
      </x:c>
      <x:c r="B21" s="8" t="str">
        <x:v>Can one authorized application quote, reserve and confirm safely?</x:v>
      </x:c>
      <x:c r="C21" s="8" t="str">
        <x:v>Decision test</x:v>
      </x:c>
      <x:c r="D21" s="8" t="str">
        <x:v>Verify rights, configured service/price/capacity, duplicate protection, authoritative result, cancellation and recovery</x:v>
      </x:c>
    </x:row>
  </x:sheetData>
  <x:pageMargins left="0.7" right="0.7" top="0.75" bottom="0.75" header="0.3" footer="0.3"/>
  <x:tableParts count="1">
    <x:tablePart xmlns:r="http://schemas.openxmlformats.org/officeDocument/2006/relationships" r:id="Ra80490324bf444ff"/>
  </x:tableParts>
</x:worksheet>
</file>

<file path=xl/worksheets/sheet2.xml><?xml version="1.0" encoding="utf-8"?>
<x:worksheet xmlns:x="http://schemas.openxmlformats.org/spreadsheetml/2006/main">
  <x:sheetPr>
    <x:tabColor rgb="FF203C59"/>
  </x:sheetPr>
  <x:sheetViews>
    <x:sheetView showGridLines="0" workbookViewId="0">
      <x:pane xSplit="2" ySplit="5" topLeftCell="C6" activePane="bottomRight" state="frozen"/>
    </x:sheetView>
  </x:sheetViews>
  <x:sheetFormatPr defaultRowHeight="15"/>
  <x:cols>
    <x:col min="1" max="1" width="11" hidden="0" customWidth="1"/>
    <x:col min="2" max="2" width="22" hidden="0" customWidth="1"/>
    <x:col min="3" max="3" width="52" hidden="0" customWidth="1"/>
    <x:col min="4" max="4" width="10" hidden="0" customWidth="1"/>
    <x:col min="5" max="5" width="10" hidden="0" customWidth="1"/>
    <x:col min="6" max="6" width="12" hidden="0" customWidth="1"/>
    <x:col min="7" max="7" width="12" hidden="0" customWidth="1"/>
    <x:col min="8" max="8" width="16" hidden="0" customWidth="1"/>
    <x:col min="9" max="9" width="18" hidden="0" customWidth="1"/>
    <x:col min="10" max="10" width="65" hidden="0" customWidth="1"/>
    <x:col min="11" max="11" width="59" hidden="0" customWidth="1"/>
    <x:col min="12" max="12" width="30" hidden="0" customWidth="1"/>
    <x:col min="13" max="13" width="57" hidden="0" customWidth="1"/>
    <x:col min="14" max="14" width="51" hidden="0" customWidth="1"/>
    <x:col min="15" max="15" width="47" hidden="0" customWidth="1"/>
    <x:col min="16" max="16" width="47" hidden="0" customWidth="1"/>
    <x:col min="17" max="17" width="16" hidden="0" customWidth="1"/>
    <x:col min="18" max="18" width="16" hidden="0" customWidth="1"/>
    <x:col min="19" max="19" width="19" hidden="0" customWidth="1"/>
    <x:col min="20" max="20" width="21" hidden="0" customWidth="1"/>
    <x:col min="21" max="21" width="21" hidden="0" customWidth="1"/>
    <x:col min="22" max="22" width="20" hidden="0" customWidth="1"/>
    <x:col min="23" max="23" width="20" hidden="0" customWidth="1"/>
    <x:col min="24" max="24" width="21" hidden="0" customWidth="1"/>
    <x:col min="25" max="25" width="51" hidden="0" customWidth="1"/>
    <x:col min="26" max="26" width="18" hidden="0" customWidth="1"/>
    <x:col min="27" max="27" width="54" hidden="0" customWidth="1"/>
    <x:col min="28" max="28" width="55" hidden="0" customWidth="1"/>
    <x:col min="29" max="29" width="62" hidden="0" customWidth="1"/>
    <x:col min="30" max="30" width="1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row>
    <x:row r="2" ht="26" customHeight="1">
      <x:c r="A2" s="3" t="str">
        <x:v>Ten category hypotheses</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row>
    <x:row r="3">
      <x:c r="A3" s="6" t="str">
        <x:v>Testing order and 1–5 scores are analyst judgment. Service recurrence does not equal agent booking recurrence.</x:v>
      </x:c>
      <x:c r="B3" s="1"/>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row>
    <x:row r="5" ht="42" customHeight="1">
      <x:c r="A5" s="12" t="str">
        <x:v>Testing priority</x:v>
      </x:c>
      <x:c r="B5" s="12" t="str">
        <x:v>Category</x:v>
      </x:c>
      <x:c r="C5" s="12" t="str">
        <x:v>Bounded service/customer scope</x:v>
      </x:c>
      <x:c r="D5" s="12" t="str">
        <x:v>S: scope (1–5)</x:v>
      </x:c>
      <x:c r="E5" s="12" t="str">
        <x:v>P: price (1–5)</x:v>
      </x:c>
      <x:c r="F5" s="12" t="str">
        <x:v>F: cadence opportunity (1–5)</x:v>
      </x:c>
      <x:c r="G5" s="12" t="str">
        <x:v>I: integration (1–5)</x:v>
      </x:c>
      <x:c r="H5" s="12" t="str">
        <x:v>Published example (USD)</x:v>
      </x:c>
      <x:c r="I5" s="12" t="str">
        <x:v>Category typical ticket (USD)</x:v>
      </x:c>
      <x:c r="J5" s="12" t="str">
        <x:v>Price evidence and limitations</x:v>
      </x:c>
      <x:c r="K5" s="12" t="str">
        <x:v>Cadence evidence and limitations</x:v>
      </x:c>
      <x:c r="L5" s="12" t="str">
        <x:v>Relevant software</x:v>
      </x:c>
      <x:c r="M5" s="12" t="str">
        <x:v>Software evidence scope</x:v>
      </x:c>
      <x:c r="N5" s="12" t="str">
        <x:v>Operational constraints</x:v>
      </x:c>
      <x:c r="O5" s="12" t="str">
        <x:v>Hypothesis to test</x:v>
      </x:c>
      <x:c r="P5" s="12" t="str">
        <x:v>Falsification condition</x:v>
      </x:c>
      <x:c r="Q5" s="12" t="str">
        <x:v>90-day requests</x:v>
      </x:c>
      <x:c r="R5" s="12" t="str">
        <x:v>90-day unique users</x:v>
      </x:c>
      <x:c r="S5" s="12" t="str">
        <x:v>No-phone completion share</x:v>
      </x:c>
      <x:c r="T5" s="12" t="str">
        <x:v>Completion with phone share</x:v>
      </x:c>
      <x:c r="U5" s="12" t="str">
        <x:v>Phone-required share</x:v>
      </x:c>
      <x:c r="V5" s="12" t="str">
        <x:v>Friction abandonment share</x:v>
      </x:c>
      <x:c r="W5" s="12" t="str">
        <x:v>Repeat agent-request rate</x:v>
      </x:c>
      <x:c r="X5" s="12" t="str">
        <x:v>Missing-rail fallback count</x:v>
      </x:c>
      <x:c r="Y5" s="12" t="str">
        <x:v>Metric availability explanation</x:v>
      </x:c>
      <x:c r="Z5" s="12" t="str">
        <x:v>Weighted total</x:v>
      </x:c>
      <x:c r="AA5" s="12" t="str">
        <x:v>Why no weighted total</x:v>
      </x:c>
      <x:c r="AB5" s="12" t="str">
        <x:v>Rank/score evidence type</x:v>
      </x:c>
      <x:c r="AC5" s="12" t="str">
        <x:v>Price source URL</x:v>
      </x:c>
      <x:c r="AD5" s="12" t="str">
        <x:v>Access date</x:v>
      </x:c>
    </x:row>
    <x:row r="6" ht="77" customHeight="1">
      <x:c r="A6" s="18" t="n">
        <x:v>1</x:v>
      </x:c>
      <x:c r="B6" s="13" t="str">
        <x:v>Cleaning</x:v>
      </x:c>
      <x:c r="C6" s="13" t="str">
        <x:v>Existing-home standard cleaning exceptions: reschedule, pause/restart or extra clean</x:v>
      </x:c>
      <x:c r="D6" s="18" t="n">
        <x:v>4</x:v>
      </x:c>
      <x:c r="E6" s="18" t="n">
        <x:v>4</x:v>
      </x:c>
      <x:c r="F6" s="18" t="n">
        <x:v>5</x:v>
      </x:c>
      <x:c r="G6" s="18" t="n">
        <x:v>3</x:v>
      </x:c>
      <x:c r="H6" s="14" t="n">
        <x:v>143</x:v>
      </x:c>
      <x:c r="I6" s="20" t="str">
        <x:v>Unavailable</x:v>
      </x:c>
      <x:c r="J6" s="13" t="str">
        <x:v>Published 1-bedroom 1000-sq-ft biweekly service menu; first clean $220; extras separate; not accepted all-in quote</x:v>
      </x:c>
      <x:c r="K6" s="13" t="str">
        <x:v>Weekly/biweekly options offered; actual household and agent frequency unavailable</x:v>
      </x:c>
      <x:c r="L6" s="13" t="str">
        <x:v>Launch27; HCP; Jobber</x:v>
      </x:c>
      <x:c r="M6" s="13" t="str">
        <x:v>Launch27 customer portal linked on MaidThis site; other relevant product capabilities documented, not merchant coverage</x:v>
      </x:c>
      <x:c r="N6" s="13" t="str">
        <x:v>Crew, route, property access, condition, cancellation policies</x:v>
      </x:c>
      <x:c r="O6" s="13" t="str">
        <x:v>Existing relationship exception management</x:v>
      </x:c>
      <x:c r="P6" s="13" t="str">
        <x:v>Too few exceptions or native self-service already resolves them</x:v>
      </x:c>
      <x:c r="Q6" s="20" t="str">
        <x:v>Unavailable</x:v>
      </x:c>
      <x:c r="R6" s="20" t="str">
        <x:v>Unavailable</x:v>
      </x:c>
      <x:c r="S6" s="20" t="str">
        <x:v>Unavailable</x:v>
      </x:c>
      <x:c r="T6" s="20" t="str">
        <x:v>Unavailable</x:v>
      </x:c>
      <x:c r="U6" s="20" t="str">
        <x:v>Unavailable</x:v>
      </x:c>
      <x:c r="V6" s="20" t="str">
        <x:v>Unavailable</x:v>
      </x:c>
      <x:c r="W6" s="20" t="str">
        <x:v>Unavailable</x:v>
      </x:c>
      <x:c r="X6" s="20" t="str">
        <x:v>Unavailable</x:v>
      </x:c>
      <x:c r="Y6" s="13" t="str">
        <x:v>Unavailable in this study; no representative or 90-day telemetry; never substitute zero</x:v>
      </x:c>
      <x:c r="Z6" s="13" t="str">
        <x:v>Not computed</x:v>
      </x:c>
      <x:c r="AA6" s="13" t="str">
        <x:v>Not computed; ticket-size trust not operationally defined, missing empirical demand/access; avoid false precision</x:v>
      </x:c>
      <x:c r="AB6" s="13" t="str">
        <x:v>judgment testing order; not computed from weighted score; conditional on permissioned demand and access; judgment; not empirical category averages</x:v>
      </x:c>
      <x:c r="AC6" s="13" t="str">
        <x:v>https://maidthis.com/boston/house-cleaning-services/</x:v>
      </x:c>
      <x:c r="AD6" s="16" t="n">
        <x:v>46299</x:v>
      </x:c>
    </x:row>
    <x:row r="7" ht="77" customHeight="1">
      <x:c r="A7" s="19" t="n">
        <x:v>2</x:v>
      </x:c>
      <x:c r="B7" s="8" t="str">
        <x:v>Beauty and barber</x:v>
      </x:c>
      <x:c r="C7" s="8" t="str">
        <x:v>Known standard haircut; zero cancellation fee; eligible staff</x:v>
      </x:c>
      <x:c r="D7" s="19" t="n">
        <x:v>4</x:v>
      </x:c>
      <x:c r="E7" s="19" t="n">
        <x:v>4</x:v>
      </x:c>
      <x:c r="F7" s="19" t="n">
        <x:v>4</x:v>
      </x:c>
      <x:c r="G7" s="19" t="n">
        <x:v>4</x:v>
      </x:c>
      <x:c r="H7" s="15" t="n">
        <x:v>40</x:v>
      </x:c>
      <x:c r="I7" s="21" t="str">
        <x:v>Unavailable</x:v>
      </x:c>
      <x:c r="J7" s="8" t="str">
        <x:v>Boston Barber Beacon Hill regular haircut menu; not checkout total</x:v>
      </x:c>
      <x:c r="K7" s="8" t="str">
        <x:v>Monthly-to-eight-week opportunity is judgment for target active customers; not observed rate</x:v>
      </x:c>
      <x:c r="L7" s="8" t="str">
        <x:v>Square</x:v>
      </x:c>
      <x:c r="M7" s="8" t="str">
        <x:v>Provider booking links plus primary Square documentation</x:v>
      </x:c>
      <x:c r="N7" s="8" t="str">
        <x:v>Staff/service mapping; OAuth; own-app vs seller-level booking visibility; nonzero cancellation-fee creation unsupported</x:v>
      </x:c>
      <x:c r="O7" s="8" t="str">
        <x:v>New rebooking for returning customer; existing booking edits require appropriate access</x:v>
      </x:c>
      <x:c r="P7" s="8" t="str">
        <x:v>No independent distribution or native booking already sufficient</x:v>
      </x:c>
      <x:c r="Q7" s="21" t="str">
        <x:v>Unavailable</x:v>
      </x:c>
      <x:c r="R7" s="21" t="str">
        <x:v>Unavailable</x:v>
      </x:c>
      <x:c r="S7" s="21" t="str">
        <x:v>Unavailable</x:v>
      </x:c>
      <x:c r="T7" s="21" t="str">
        <x:v>Unavailable</x:v>
      </x:c>
      <x:c r="U7" s="21" t="str">
        <x:v>Unavailable</x:v>
      </x:c>
      <x:c r="V7" s="21" t="str">
        <x:v>Unavailable</x:v>
      </x:c>
      <x:c r="W7" s="21" t="str">
        <x:v>Unavailable</x:v>
      </x:c>
      <x:c r="X7" s="21" t="str">
        <x:v>Unavailable</x:v>
      </x:c>
      <x:c r="Y7" s="8" t="str">
        <x:v>Unavailable in this study; no representative or 90-day telemetry; never substitute zero</x:v>
      </x:c>
      <x:c r="Z7" s="8" t="str">
        <x:v>Not computed</x:v>
      </x:c>
      <x:c r="AA7" s="8" t="str">
        <x:v>Not computed; ticket-size trust not operationally defined, missing empirical demand/access; avoid false precision</x:v>
      </x:c>
      <x:c r="AB7" s="8" t="str">
        <x:v>judgment testing order; not computed from weighted score; conditional on permissioned demand and access; judgment; not empirical category averages</x:v>
      </x:c>
      <x:c r="AC7" s="8" t="str">
        <x:v>https://www.bostonbarber.com/beacon-hill/</x:v>
      </x:c>
      <x:c r="AD7" s="17" t="n">
        <x:v>46299</x:v>
      </x:c>
    </x:row>
    <x:row r="8" ht="77" customHeight="1">
      <x:c r="A8" s="18" t="n">
        <x:v>3</x:v>
      </x:c>
      <x:c r="B8" s="13" t="str">
        <x:v>Laundry pickup</x:v>
      </x:c>
      <x:c r="C8" s="13" t="str">
        <x:v>Fixed-bag wash and fold; defined route zone and delivery window</x:v>
      </x:c>
      <x:c r="D8" s="18" t="n">
        <x:v>4</x:v>
      </x:c>
      <x:c r="E8" s="18" t="n">
        <x:v>4</x:v>
      </x:c>
      <x:c r="F8" s="18" t="n">
        <x:v>5</x:v>
      </x:c>
      <x:c r="G8" s="18" t="n">
        <x:v>2</x:v>
      </x:c>
      <x:c r="H8" s="14" t="n">
        <x:v>41.99</x:v>
      </x:c>
      <x:c r="I8" s="20" t="str">
        <x:v>Unavailable</x:v>
      </x:c>
      <x:c r="J8" s="13" t="str">
        <x:v>LOD Boston Essential per-bag menu with pickup/delivery; app-only; no order verified</x:v>
      </x:c>
      <x:c r="K8" s="13" t="str">
        <x:v>Weekly/biweekly opportunity is judgment among active customers; no measured rate</x:v>
      </x:c>
      <x:c r="L8" s="13" t="str">
        <x:v>Cents; operator-native platforms</x:v>
      </x:c>
      <x:c r="M8" s="13" t="str">
        <x:v>Cents product documents route/zone/recurrence; public booking-write access unverified</x:v>
      </x:c>
      <x:c r="N8" s="13" t="str">
        <x:v>Pickup and delivery legs; route density; facility capacity; bag definition</x:v>
      </x:c>
      <x:c r="O8" s="13" t="str">
        <x:v>Concentrated building or concierge distribution</x:v>
      </x:c>
      <x:c r="P8" s="13" t="str">
        <x:v>No operator access or sufficient margin after transport and support</x:v>
      </x:c>
      <x:c r="Q8" s="20" t="str">
        <x:v>Unavailable</x:v>
      </x:c>
      <x:c r="R8" s="20" t="str">
        <x:v>Unavailable</x:v>
      </x:c>
      <x:c r="S8" s="20" t="str">
        <x:v>Unavailable</x:v>
      </x:c>
      <x:c r="T8" s="20" t="str">
        <x:v>Unavailable</x:v>
      </x:c>
      <x:c r="U8" s="20" t="str">
        <x:v>Unavailable</x:v>
      </x:c>
      <x:c r="V8" s="20" t="str">
        <x:v>Unavailable</x:v>
      </x:c>
      <x:c r="W8" s="20" t="str">
        <x:v>Unavailable</x:v>
      </x:c>
      <x:c r="X8" s="20" t="str">
        <x:v>Unavailable</x:v>
      </x:c>
      <x:c r="Y8" s="13" t="str">
        <x:v>Unavailable in this study; no representative or 90-day telemetry; never substitute zero</x:v>
      </x:c>
      <x:c r="Z8" s="13" t="str">
        <x:v>Not computed</x:v>
      </x:c>
      <x:c r="AA8" s="13" t="str">
        <x:v>Not computed; ticket-size trust not operationally defined, missing empirical demand/access; avoid false precision</x:v>
      </x:c>
      <x:c r="AB8" s="13" t="str">
        <x:v>judgment testing order; not computed from weighted score; conditional on permissioned demand and access; judgment; not empirical category averages</x:v>
      </x:c>
      <x:c r="AC8" s="13" t="str">
        <x:v>https://www.lodaundry.com/</x:v>
      </x:c>
      <x:c r="AD8" s="16" t="n">
        <x:v>46299</x:v>
      </x:c>
    </x:row>
    <x:row r="9" ht="77" customHeight="1">
      <x:c r="A9" s="19" t="n">
        <x:v>4</x:v>
      </x:c>
      <x:c r="B9" s="8" t="str">
        <x:v>Pet grooming</x:v>
      </x:c>
      <x:c r="C9" s="8" t="str">
        <x:v>Returning salon pet; known package, condition and eligibility</x:v>
      </x:c>
      <x:c r="D9" s="19" t="n">
        <x:v>3</x:v>
      </x:c>
      <x:c r="E9" s="19" t="n">
        <x:v>2</x:v>
      </x:c>
      <x:c r="F9" s="19" t="n">
        <x:v>4</x:v>
      </x:c>
      <x:c r="G9" s="19" t="n">
        <x:v>3</x:v>
      </x:c>
      <x:c r="H9" s="15" t="n">
        <x:v>45</x:v>
      </x:c>
      <x:c r="I9" s="21" t="str">
        <x:v>Unavailable</x:v>
      </x:c>
      <x:c r="J9" s="8" t="str">
        <x:v>Coqui Standard Bath for 16-30lb dogs; full haircut +$20; condition/matting can add; not final total</x:v>
      </x:c>
      <x:c r="K9" s="8" t="str">
        <x:v>PetSmart four-to-six-week recommendation includes at-home care; not paid grooming frequency</x:v>
      </x:c>
      <x:c r="L9" s="8" t="str">
        <x:v>Gingr; MoeGo; operator-specific</x:v>
      </x:c>
      <x:c r="M9" s="8" t="str">
        <x:v>Relevant vendor APIs documented by technical documentation review; no merchant access tested</x:v>
      </x:c>
      <x:c r="N9" s="8" t="str">
        <x:v>Coat/behavior/age/vaccination eligibility; staff/duration; possible assessment</x:v>
      </x:c>
      <x:c r="O9" s="8" t="str">
        <x:v>Known-pet package rebooking</x:v>
      </x:c>
      <x:c r="P9" s="8" t="str">
        <x:v>Price unresolved until check-in or scarce capacity unchanged</x:v>
      </x:c>
      <x:c r="Q9" s="21" t="str">
        <x:v>Unavailable</x:v>
      </x:c>
      <x:c r="R9" s="21" t="str">
        <x:v>Unavailable</x:v>
      </x:c>
      <x:c r="S9" s="21" t="str">
        <x:v>Unavailable</x:v>
      </x:c>
      <x:c r="T9" s="21" t="str">
        <x:v>Unavailable</x:v>
      </x:c>
      <x:c r="U9" s="21" t="str">
        <x:v>Unavailable</x:v>
      </x:c>
      <x:c r="V9" s="21" t="str">
        <x:v>Unavailable</x:v>
      </x:c>
      <x:c r="W9" s="21" t="str">
        <x:v>Unavailable</x:v>
      </x:c>
      <x:c r="X9" s="21" t="str">
        <x:v>Unavailable</x:v>
      </x:c>
      <x:c r="Y9" s="8" t="str">
        <x:v>Unavailable in this study; no representative or 90-day telemetry; never substitute zero</x:v>
      </x:c>
      <x:c r="Z9" s="8" t="str">
        <x:v>Not computed</x:v>
      </x:c>
      <x:c r="AA9" s="8" t="str">
        <x:v>Not computed; ticket-size trust not operationally defined, missing empirical demand/access; avoid false precision</x:v>
      </x:c>
      <x:c r="AB9" s="8" t="str">
        <x:v>judgment testing order; not computed from weighted score; conditional on permissioned demand and access; judgment; not empirical category averages</x:v>
      </x:c>
      <x:c r="AC9" s="8" t="str">
        <x:v>https://www.ohanapetboston.com/pricing/dog/grooming</x:v>
      </x:c>
      <x:c r="AD9" s="17" t="n">
        <x:v>46299</x:v>
      </x:c>
    </x:row>
    <x:row r="10" ht="77" customHeight="1">
      <x:c r="A10" s="18" t="n">
        <x:v>5</x:v>
      </x:c>
      <x:c r="B10" s="13" t="str">
        <x:v>Lawn care</x:v>
      </x:c>
      <x:c r="C10" s="13" t="str">
        <x:v>Routine mow for known property; no overgrowth or cleanup</x:v>
      </x:c>
      <x:c r="D10" s="18" t="n">
        <x:v>4</x:v>
      </x:c>
      <x:c r="E10" s="18" t="n">
        <x:v>3</x:v>
      </x:c>
      <x:c r="F10" s="18" t="n">
        <x:v>5</x:v>
      </x:c>
      <x:c r="G10" s="18" t="n">
        <x:v>3</x:v>
      </x:c>
      <x:c r="H10" s="14" t="n">
        <x:v>60</x:v>
      </x:c>
      <x:c r="I10" s="20" t="str">
        <x:v>Unavailable</x:v>
      </x:c>
      <x:c r="J10" s="13" t="str">
        <x:v>Lawn Love Boston seller-published average mowing price; method/sample not disclosed; not independent median</x:v>
      </x:c>
      <x:c r="K10" s="13" t="str">
        <x:v>Weekly/14-day/seasonal 28-day choices; not new booking counts</x:v>
      </x:c>
      <x:c r="L10" s="13" t="str">
        <x:v>Lawn Love native platform; HCP/Jobber relevant</x:v>
      </x:c>
      <x:c r="M10" s="13" t="str">
        <x:v>Native scheduling published; HCP/Jobber relevance not adoption proof</x:v>
      </x:c>
      <x:c r="N10" s="13" t="str">
        <x:v>Weather; route; season; condition</x:v>
      </x:c>
      <x:c r="O10" s="13" t="str">
        <x:v>Pause/restart, weather exceptions and approved extras</x:v>
      </x:c>
      <x:c r="P10" s="13" t="str">
        <x:v>Already automatic schedule plus low exception demand</x:v>
      </x:c>
      <x:c r="Q10" s="20" t="str">
        <x:v>Unavailable</x:v>
      </x:c>
      <x:c r="R10" s="20" t="str">
        <x:v>Unavailable</x:v>
      </x:c>
      <x:c r="S10" s="20" t="str">
        <x:v>Unavailable</x:v>
      </x:c>
      <x:c r="T10" s="20" t="str">
        <x:v>Unavailable</x:v>
      </x:c>
      <x:c r="U10" s="20" t="str">
        <x:v>Unavailable</x:v>
      </x:c>
      <x:c r="V10" s="20" t="str">
        <x:v>Unavailable</x:v>
      </x:c>
      <x:c r="W10" s="20" t="str">
        <x:v>Unavailable</x:v>
      </x:c>
      <x:c r="X10" s="20" t="str">
        <x:v>Unavailable</x:v>
      </x:c>
      <x:c r="Y10" s="13" t="str">
        <x:v>Unavailable in this study; no representative or 90-day telemetry; never substitute zero</x:v>
      </x:c>
      <x:c r="Z10" s="13" t="str">
        <x:v>Not computed</x:v>
      </x:c>
      <x:c r="AA10" s="13" t="str">
        <x:v>Not computed; ticket-size trust not operationally defined, missing empirical demand/access; avoid false precision</x:v>
      </x:c>
      <x:c r="AB10" s="13" t="str">
        <x:v>judgment testing order; not computed from weighted score; conditional on permissioned demand and access; judgment; not empirical category averages</x:v>
      </x:c>
      <x:c r="AC10" s="13" t="str">
        <x:v>https://lawnlove.com/massachusetts/boston-lawn-care</x:v>
      </x:c>
      <x:c r="AD10" s="16" t="n">
        <x:v>46299</x:v>
      </x:c>
    </x:row>
    <x:row r="11" ht="77" customHeight="1">
      <x:c r="A11" s="19" t="n">
        <x:v>6</x:v>
      </x:c>
      <x:c r="B11" s="8" t="str">
        <x:v>Auto service</x:v>
      </x:c>
      <x:c r="C11" s="8" t="str">
        <x:v>Menu maintenance; exact inspection as simpler subcase; no diagnosis</x:v>
      </x:c>
      <x:c r="D11" s="19" t="n">
        <x:v>4</x:v>
      </x:c>
      <x:c r="E11" s="19" t="n">
        <x:v>3</x:v>
      </x:c>
      <x:c r="F11" s="19" t="n">
        <x:v>2</x:v>
      </x:c>
      <x:c r="G11" s="19" t="n">
        <x:v>3</x:v>
      </x:c>
      <x:c r="H11" s="15" t="n">
        <x:v>35</x:v>
      </x:c>
      <x:c r="I11" s="21" t="str">
        <x:v>Unavailable</x:v>
      </x:c>
      <x:c r="J11" s="8" t="str">
        <x:v>Massachusetts inspection fee for most vehicles; inspection-only statutory example, not repair/oil ticket</x:v>
      </x:c>
      <x:c r="K11" s="8" t="str">
        <x:v>MA inspection annual by rule; no measured overall maintenance or agent rate</x:v>
      </x:c>
      <x:c r="L11" s="8" t="str">
        <x:v>Shopmonkey; dealer/provider systems</x:v>
      </x:c>
      <x:c r="M11" s="8" t="str">
        <x:v>Appointment write documented; live capacity availability unverified in technical documentation review</x:v>
      </x:c>
      <x:c r="N11" s="8" t="str">
        <x:v>Bay; qualified staff; vehicle; parts; dropoff vs completion promise</x:v>
      </x:c>
      <x:c r="O11" s="8" t="str">
        <x:v>Precisely identified service slot</x:v>
      </x:c>
      <x:c r="P11" s="8" t="str">
        <x:v>Only unconstrained appointment creation or low value per event</x:v>
      </x:c>
      <x:c r="Q11" s="21" t="str">
        <x:v>Unavailable</x:v>
      </x:c>
      <x:c r="R11" s="21" t="str">
        <x:v>Unavailable</x:v>
      </x:c>
      <x:c r="S11" s="21" t="str">
        <x:v>Unavailable</x:v>
      </x:c>
      <x:c r="T11" s="21" t="str">
        <x:v>Unavailable</x:v>
      </x:c>
      <x:c r="U11" s="21" t="str">
        <x:v>Unavailable</x:v>
      </x:c>
      <x:c r="V11" s="21" t="str">
        <x:v>Unavailable</x:v>
      </x:c>
      <x:c r="W11" s="21" t="str">
        <x:v>Unavailable</x:v>
      </x:c>
      <x:c r="X11" s="21" t="str">
        <x:v>Unavailable</x:v>
      </x:c>
      <x:c r="Y11" s="8" t="str">
        <x:v>Unavailable in this study; no representative or 90-day telemetry; never substitute zero</x:v>
      </x:c>
      <x:c r="Z11" s="8" t="str">
        <x:v>Not computed</x:v>
      </x:c>
      <x:c r="AA11" s="8" t="str">
        <x:v>Not computed; ticket-size trust not operationally defined, missing empirical demand/access; avoid false precision</x:v>
      </x:c>
      <x:c r="AB11" s="8" t="str">
        <x:v>judgment testing order; not computed from weighted score; conditional on permissioned demand and access; judgment; not empirical category averages</x:v>
      </x:c>
      <x:c r="AC11" s="8" t="str">
        <x:v>https://www.mass.gov/info-details/vehicle-inspections</x:v>
      </x:c>
      <x:c r="AD11" s="17" t="n">
        <x:v>46299</x:v>
      </x:c>
    </x:row>
    <x:row r="12" ht="77" customHeight="1">
      <x:c r="A12" s="18" t="n">
        <x:v>7</x:v>
      </x:c>
      <x:c r="B12" s="13" t="str">
        <x:v>HVAC maintenance</x:v>
      </x:c>
      <x:c r="C12" s="13" t="str">
        <x:v>Tune-up for identified functioning equipment; no emergency or diagnosis</x:v>
      </x:c>
      <x:c r="D12" s="18" t="n">
        <x:v>4</x:v>
      </x:c>
      <x:c r="E12" s="18" t="n">
        <x:v>3</x:v>
      </x:c>
      <x:c r="F12" s="18" t="n">
        <x:v>2</x:v>
      </x:c>
      <x:c r="G12" s="18" t="n">
        <x:v>3</x:v>
      </x:c>
      <x:c r="H12" s="14" t="n">
        <x:v>99</x:v>
      </x:c>
      <x:c r="I12" s="20" t="str">
        <x:v>Unavailable</x:v>
      </x:c>
      <x:c r="J12" s="13" t="str">
        <x:v>Comfort Professor heating-tune-up promotion for schedule before 2026-10-31; normally $129; restrictions apply; not final quote</x:v>
      </x:c>
      <x:c r="K12" s="13" t="str">
        <x:v>ENERGY STAR annual preseason checkups recommendation; not paid frequency</x:v>
      </x:c>
      <x:c r="L12" s="13" t="str">
        <x:v>HCP; Jobber; other FSM</x:v>
      </x:c>
      <x:c r="M12" s="13" t="str">
        <x:v>Relevant vendor functionality; sampled-provider adoption not established</x:v>
      </x:c>
      <x:c r="N12" s="13" t="str">
        <x:v>Equipment; skill; route; seasonal peak capacity; repair escalation</x:v>
      </x:c>
      <x:c r="O12" s="13" t="str">
        <x:v>Existing maintenance-plan customer scheduling</x:v>
      </x:c>
      <x:c r="P12" s="13" t="str">
        <x:v>Too few yearly events or no partner distribution</x:v>
      </x:c>
      <x:c r="Q12" s="20" t="str">
        <x:v>Unavailable</x:v>
      </x:c>
      <x:c r="R12" s="20" t="str">
        <x:v>Unavailable</x:v>
      </x:c>
      <x:c r="S12" s="20" t="str">
        <x:v>Unavailable</x:v>
      </x:c>
      <x:c r="T12" s="20" t="str">
        <x:v>Unavailable</x:v>
      </x:c>
      <x:c r="U12" s="20" t="str">
        <x:v>Unavailable</x:v>
      </x:c>
      <x:c r="V12" s="20" t="str">
        <x:v>Unavailable</x:v>
      </x:c>
      <x:c r="W12" s="20" t="str">
        <x:v>Unavailable</x:v>
      </x:c>
      <x:c r="X12" s="20" t="str">
        <x:v>Unavailable</x:v>
      </x:c>
      <x:c r="Y12" s="13" t="str">
        <x:v>Unavailable in this study; no representative or 90-day telemetry; never substitute zero</x:v>
      </x:c>
      <x:c r="Z12" s="13" t="str">
        <x:v>Not computed</x:v>
      </x:c>
      <x:c r="AA12" s="13" t="str">
        <x:v>Not computed; ticket-size trust not operationally defined, missing empirical demand/access; avoid false precision</x:v>
      </x:c>
      <x:c r="AB12" s="13" t="str">
        <x:v>judgment testing order; not computed from weighted score; conditional on permissioned demand and access; judgment; not empirical category averages</x:v>
      </x:c>
      <x:c r="AC12" s="13" t="str">
        <x:v>https://comfortprofessor.com/services/hvac/tune-up/</x:v>
      </x:c>
      <x:c r="AD12" s="16" t="n">
        <x:v>46299</x:v>
      </x:c>
    </x:row>
    <x:row r="13" ht="77" customHeight="1">
      <x:c r="A13" s="19" t="n">
        <x:v>8</x:v>
      </x:c>
      <x:c r="B13" s="8" t="str">
        <x:v>Fitness classes</x:v>
      </x:c>
      <x:c r="C13" s="8" t="str">
        <x:v>One standard class seat with correct pass/eligibility</x:v>
      </x:c>
      <x:c r="D13" s="19" t="n">
        <x:v>5</x:v>
      </x:c>
      <x:c r="E13" s="19" t="n">
        <x:v>4</x:v>
      </x:c>
      <x:c r="F13" s="19" t="n">
        <x:v>5</x:v>
      </x:c>
      <x:c r="G13" s="19" t="n">
        <x:v>4</x:v>
      </x:c>
      <x:c r="H13" s="15" t="n">
        <x:v>25</x:v>
      </x:c>
      <x:c r="I13" s="21" t="str">
        <x:v>Unavailable</x:v>
      </x:c>
      <x:c r="J13" s="8" t="str">
        <x:v>Luxe Leisure South Boston single-class menu; ten-pack $185; not final checkout total</x:v>
      </x:c>
      <x:c r="K13" s="8" t="str">
        <x:v>Weekly-plus opportunity for active class consumers is judgment; membership is not attendance</x:v>
      </x:c>
      <x:c r="L13" s="8" t="str">
        <x:v>Mindbody; ClassPass; other studio platforms</x:v>
      </x:c>
      <x:c r="M13" s="8" t="str">
        <x:v>Documented booking APIs and incumbent distribution; permission/fee restrictions remain</x:v>
      </x:c>
      <x:c r="N13" s="8" t="str">
        <x:v>Capacity; pass entitlements; waiver; waitlist; cancellation</x:v>
      </x:c>
      <x:c r="O13" s="8" t="str">
        <x:v>High-frequency technical control if distribution exists</x:v>
      </x:c>
      <x:c r="P13" s="8" t="str">
        <x:v>Upstream fees or incumbents erase willingness to pay</x:v>
      </x:c>
      <x:c r="Q13" s="21" t="str">
        <x:v>Unavailable</x:v>
      </x:c>
      <x:c r="R13" s="21" t="str">
        <x:v>Unavailable</x:v>
      </x:c>
      <x:c r="S13" s="21" t="str">
        <x:v>Unavailable</x:v>
      </x:c>
      <x:c r="T13" s="21" t="str">
        <x:v>Unavailable</x:v>
      </x:c>
      <x:c r="U13" s="21" t="str">
        <x:v>Unavailable</x:v>
      </x:c>
      <x:c r="V13" s="21" t="str">
        <x:v>Unavailable</x:v>
      </x:c>
      <x:c r="W13" s="21" t="str">
        <x:v>Unavailable</x:v>
      </x:c>
      <x:c r="X13" s="21" t="str">
        <x:v>Unavailable</x:v>
      </x:c>
      <x:c r="Y13" s="8" t="str">
        <x:v>Unavailable in this study; no representative or 90-day telemetry; never substitute zero</x:v>
      </x:c>
      <x:c r="Z13" s="8" t="str">
        <x:v>Not computed</x:v>
      </x:c>
      <x:c r="AA13" s="8" t="str">
        <x:v>Not computed; ticket-size trust not operationally defined, missing empirical demand/access; avoid false precision</x:v>
      </x:c>
      <x:c r="AB13" s="8" t="str">
        <x:v>judgment testing order; not computed from weighted score; conditional on permissioned demand and access; judgment; not empirical category averages</x:v>
      </x:c>
      <x:c r="AC13" s="8" t="str">
        <x:v>https://www.luxeleisurestudio.com/new-page</x:v>
      </x:c>
      <x:c r="AD13" s="17" t="n">
        <x:v>46299</x:v>
      </x:c>
    </x:row>
    <x:row r="14" ht="77" customHeight="1">
      <x:c r="A14" s="18" t="n">
        <x:v>9</x:v>
      </x:c>
      <x:c r="B14" s="13" t="str">
        <x:v>Pest control</x:v>
      </x:c>
      <x:c r="C14" s="13" t="str">
        <x:v>Known-property routine preventive treatment; no new infestation diagnosis</x:v>
      </x:c>
      <x:c r="D14" s="18" t="n">
        <x:v>3</x:v>
      </x:c>
      <x:c r="E14" s="18" t="n">
        <x:v>2</x:v>
      </x:c>
      <x:c r="F14" s="18" t="n">
        <x:v>3</x:v>
      </x:c>
      <x:c r="G14" s="18" t="n">
        <x:v>3</x:v>
      </x:c>
      <x:c r="H14" s="14" t="str">
        <x:v>Unavailable</x:v>
      </x:c>
      <x:c r="I14" s="20" t="str">
        <x:v>Unavailable</x:v>
      </x:c>
      <x:c r="J14" s="13" t="str">
        <x:v>Truly Gone starts quarterly plan at $49/month and one-time at $199; monthly billing is not per-visit ticket; size/severity vary</x:v>
      </x:c>
      <x:c r="K14" s="13" t="str">
        <x:v>Terminix says most recurring residential customers 3 or 4 services/year; not all households or new bookings</x:v>
      </x:c>
      <x:c r="L14" s="13" t="str">
        <x:v>HCP; Jobber; specialized FSM</x:v>
      </x:c>
      <x:c r="M14" s="13" t="str">
        <x:v>Relevant booking capabilities, not proof of merchant adoption</x:v>
      </x:c>
      <x:c r="N14" s="13" t="str">
        <x:v>Pest identity; severity; eligibility; route; plan terms</x:v>
      </x:c>
      <x:c r="O14" s="13" t="str">
        <x:v>Existing plan scheduling exceptions</x:v>
      </x:c>
      <x:c r="P14" s="13" t="str">
        <x:v>Assessment/quote required or recurrence already eliminates action</x:v>
      </x:c>
      <x:c r="Q14" s="20" t="str">
        <x:v>Unavailable</x:v>
      </x:c>
      <x:c r="R14" s="20" t="str">
        <x:v>Unavailable</x:v>
      </x:c>
      <x:c r="S14" s="20" t="str">
        <x:v>Unavailable</x:v>
      </x:c>
      <x:c r="T14" s="20" t="str">
        <x:v>Unavailable</x:v>
      </x:c>
      <x:c r="U14" s="20" t="str">
        <x:v>Unavailable</x:v>
      </x:c>
      <x:c r="V14" s="20" t="str">
        <x:v>Unavailable</x:v>
      </x:c>
      <x:c r="W14" s="20" t="str">
        <x:v>Unavailable</x:v>
      </x:c>
      <x:c r="X14" s="20" t="str">
        <x:v>Unavailable</x:v>
      </x:c>
      <x:c r="Y14" s="13" t="str">
        <x:v>Unavailable in this study; no representative or 90-day telemetry; never substitute zero</x:v>
      </x:c>
      <x:c r="Z14" s="13" t="str">
        <x:v>Not computed</x:v>
      </x:c>
      <x:c r="AA14" s="13" t="str">
        <x:v>Not computed; ticket-size trust not operationally defined, missing empirical demand/access; avoid false precision</x:v>
      </x:c>
      <x:c r="AB14" s="13" t="str">
        <x:v>judgment testing order; not computed from weighted score; conditional on permissioned demand and access; judgment; not empirical category averages</x:v>
      </x:c>
      <x:c r="AC14" s="13" t="str">
        <x:v>https://www.trulygone.com/pricing-and-plans/</x:v>
      </x:c>
      <x:c r="AD14" s="16" t="n">
        <x:v>46299</x:v>
      </x:c>
    </x:row>
    <x:row r="15" ht="77" customHeight="1">
      <x:c r="A15" s="19" t="n">
        <x:v>10</x:v>
      </x:c>
      <x:c r="B15" s="8" t="str">
        <x:v>Handyman and unknown repair</x:v>
      </x:c>
      <x:c r="C15" s="8" t="str">
        <x:v>General handyman work or unknown repair; fixed-item assembly excluded</x:v>
      </x:c>
      <x:c r="D15" s="19" t="n">
        <x:v>2</x:v>
      </x:c>
      <x:c r="E15" s="19" t="n">
        <x:v>2</x:v>
      </x:c>
      <x:c r="F15" s="19" t="n">
        <x:v>1</x:v>
      </x:c>
      <x:c r="G15" s="19" t="n">
        <x:v>3</x:v>
      </x:c>
      <x:c r="H15" s="15" t="str">
        <x:v>Unavailable</x:v>
      </x:c>
      <x:c r="I15" s="21" t="str">
        <x:v>Unavailable</x:v>
      </x:c>
      <x:c r="J15" s="8" t="str">
        <x:v>No defensible unknown-repair total; adjacent Taskrabbit Boston assembly example $45/hour plus fees/taxes is not repair ticket</x:v>
      </x:c>
      <x:c r="K15" s="8" t="str">
        <x:v>Episodic judgment; not zero or measured absence</x:v>
      </x:c>
      <x:c r="L15" s="8" t="str">
        <x:v>Taskrabbit; HCP; Jobber; operator-specific</x:v>
      </x:c>
      <x:c r="M15" s="8" t="str">
        <x:v>Digital request/scheduling exists; executable fixed scope and total often absent</x:v>
      </x:c>
      <x:c r="N15" s="8" t="str">
        <x:v>Scope discovery; material requirements; duration; skill; quote</x:v>
      </x:c>
      <x:c r="O15" s="8" t="str">
        <x:v>Defer general work; retailer fixed-item assembly is a distinct possible SKU</x:v>
      </x:c>
      <x:c r="P15" s="8" t="str">
        <x:v>Needs description conversation or on-site assessment</x:v>
      </x:c>
      <x:c r="Q15" s="21" t="str">
        <x:v>Unavailable</x:v>
      </x:c>
      <x:c r="R15" s="21" t="str">
        <x:v>Unavailable</x:v>
      </x:c>
      <x:c r="S15" s="21" t="str">
        <x:v>Unavailable</x:v>
      </x:c>
      <x:c r="T15" s="21" t="str">
        <x:v>Unavailable</x:v>
      </x:c>
      <x:c r="U15" s="21" t="str">
        <x:v>Unavailable</x:v>
      </x:c>
      <x:c r="V15" s="21" t="str">
        <x:v>Unavailable</x:v>
      </x:c>
      <x:c r="W15" s="21" t="str">
        <x:v>Unavailable</x:v>
      </x:c>
      <x:c r="X15" s="21" t="str">
        <x:v>Unavailable</x:v>
      </x:c>
      <x:c r="Y15" s="8" t="str">
        <x:v>Unavailable in this study; no representative or 90-day telemetry; never substitute zero</x:v>
      </x:c>
      <x:c r="Z15" s="8" t="str">
        <x:v>Not computed</x:v>
      </x:c>
      <x:c r="AA15" s="8" t="str">
        <x:v>Not computed; ticket-size trust not operationally defined, missing empirical demand/access; avoid false precision</x:v>
      </x:c>
      <x:c r="AB15" s="8" t="str">
        <x:v>judgment testing order; not computed from weighted score; conditional on permissioned demand and access; judgment; not empirical category averages</x:v>
      </x:c>
      <x:c r="AC15" s="8" t="str">
        <x:v>https://www.taskrabbit.com/locations/boston/assemble-furniture</x:v>
      </x:c>
      <x:c r="AD15" s="17" t="n">
        <x:v>46299</x:v>
      </x:c>
    </x:row>
  </x:sheetData>
  <x:pageMargins left="0.7" right="0.7" top="0.75" bottom="0.75" header="0.3" footer="0.3"/>
  <x:tableParts count="1">
    <x:tablePart xmlns:r="http://schemas.openxmlformats.org/officeDocument/2006/relationships" r:id="R650e287bdced46d6"/>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1" hidden="0" customWidth="1"/>
    <x:col min="2" max="2" width="9" hidden="0" customWidth="1"/>
    <x:col min="3" max="3" width="15" hidden="0" customWidth="1"/>
    <x:col min="4" max="4" width="15" hidden="0" customWidth="1"/>
    <x:col min="5" max="5" width="15" hidden="0" customWidth="1"/>
    <x:col min="6" max="6" width="23" hidden="0" customWidth="1"/>
    <x:col min="7" max="7" width="24" hidden="0" customWidth="1"/>
    <x:col min="8" max="8" width="52" hidden="0" customWidth="1"/>
  </x:cols>
  <x:sheetData>
    <x:row r="1">
      <x:c r="A1" s="1"/>
      <x:c r="B1" s="1"/>
      <x:c r="C1" s="1"/>
      <x:c r="D1" s="1"/>
      <x:c r="E1" s="1"/>
      <x:c r="F1" s="1"/>
      <x:c r="G1" s="1"/>
      <x:c r="H1" s="1"/>
    </x:row>
    <x:row r="2" ht="26" customHeight="1">
      <x:c r="A2" s="3" t="str">
        <x:v>Observed elapsed time by category</x:v>
      </x:c>
      <x:c r="B2" s="4"/>
      <x:c r="C2" s="4"/>
      <x:c r="D2" s="4"/>
      <x:c r="E2" s="4"/>
      <x:c r="F2" s="4"/>
      <x:c r="G2" s="4"/>
      <x:c r="H2" s="4"/>
    </x:row>
    <x:row r="3">
      <x:c r="A3" s="6" t="str">
        <x:v>Seconds from first provider load to the observed stop. These are censored inspection windows, not time-to-book.</x:v>
      </x:c>
      <x:c r="B3" s="1"/>
      <x:c r="C3" s="1"/>
      <x:c r="D3" s="1"/>
      <x:c r="E3" s="1"/>
      <x:c r="F3" s="1"/>
      <x:c r="G3" s="1"/>
      <x:c r="H3" s="1"/>
    </x:row>
    <x:row r="4">
      <x:c r="A4" s="1"/>
      <x:c r="B4" s="1"/>
      <x:c r="C4" s="1"/>
      <x:c r="D4" s="1"/>
      <x:c r="E4" s="1"/>
      <x:c r="F4" s="1"/>
      <x:c r="G4" s="1"/>
      <x:c r="H4" s="1"/>
    </x:row>
    <x:row r="5" ht="42" customHeight="1">
      <x:c r="A5" s="12" t="str">
        <x:v>Category</x:v>
      </x:c>
      <x:c r="B5" s="12" t="str">
        <x:v>Core n</x:v>
      </x:c>
      <x:c r="C5" s="12" t="str">
        <x:v>Minimum (seconds)</x:v>
      </x:c>
      <x:c r="D5" s="12" t="str">
        <x:v>Median (seconds)</x:v>
      </x:c>
      <x:c r="E5" s="12" t="str">
        <x:v>Maximum (seconds)</x:v>
      </x:c>
      <x:c r="F5" s="12" t="str">
        <x:v>Time to confirmed booking</x:v>
      </x:c>
      <x:c r="G5" s="12" t="str">
        <x:v>Booking success rate</x:v>
      </x:c>
      <x:c r="H5" s="12" t="str">
        <x:v>Interpretation</x:v>
      </x:c>
    </x:row>
    <x:row r="6" ht="51" customHeight="1">
      <x:c r="A6" s="13" t="str">
        <x:v>Cleaning</x:v>
      </x:c>
      <x:c r="B6" s="13" t="n">
        <x:v>3</x:v>
      </x:c>
      <x:c r="C6" s="22" t="n">
        <x:f>MIN('Live observations'!G6,'Live observations'!G7,'Live observations'!G8)</x:f>
        <x:v>28.997</x:v>
      </x:c>
      <x:c r="D6" s="22" t="n">
        <x:f>MEDIAN('Live observations'!G6,'Live observations'!G7,'Live observations'!G8)</x:f>
        <x:v>106.914</x:v>
      </x:c>
      <x:c r="E6" s="22" t="n">
        <x:f>MAX('Live observations'!G6,'Live observations'!G7,'Live observations'!G8)</x:f>
        <x:v>202.196</x:v>
      </x:c>
      <x:c r="F6" s="13" t="str">
        <x:v>Unavailable</x:v>
      </x:c>
      <x:c r="G6" s="13" t="str">
        <x:v>Unknown; no booking submitted</x:v>
      </x:c>
      <x:c r="H6" s="13" t="str">
        <x:v>Descriptive observation window only. Different stop states, tool delays and any interleaving make speed rankings invalid.</x:v>
      </x:c>
    </x:row>
    <x:row r="7" ht="51" customHeight="1">
      <x:c r="A7" s="8" t="str">
        <x:v>Auto service</x:v>
      </x:c>
      <x:c r="B7" s="8" t="n">
        <x:v>3</x:v>
      </x:c>
      <x:c r="C7" s="23" t="n">
        <x:f>MIN('Live observations'!G9,'Live observations'!G10,'Live observations'!G11)</x:f>
        <x:v>32.665</x:v>
      </x:c>
      <x:c r="D7" s="23" t="n">
        <x:f>MEDIAN('Live observations'!G9,'Live observations'!G10,'Live observations'!G11)</x:f>
        <x:v>43.633</x:v>
      </x:c>
      <x:c r="E7" s="23" t="n">
        <x:f>MAX('Live observations'!G9,'Live observations'!G10,'Live observations'!G11)</x:f>
        <x:v>45.764</x:v>
      </x:c>
      <x:c r="F7" s="8" t="str">
        <x:v>Unavailable</x:v>
      </x:c>
      <x:c r="G7" s="8" t="str">
        <x:v>Unknown; no booking submitted</x:v>
      </x:c>
      <x:c r="H7" s="8" t="str">
        <x:v>Descriptive observation window only. Different stop states, tool delays and any interleaving make speed rankings invalid.</x:v>
      </x:c>
    </x:row>
    <x:row r="8" ht="51" customHeight="1">
      <x:c r="A8" s="13" t="str">
        <x:v>Beauty and barber</x:v>
      </x:c>
      <x:c r="B8" s="13" t="n">
        <x:v>3</x:v>
      </x:c>
      <x:c r="C8" s="22" t="n">
        <x:f>MIN('Live observations'!G12,'Live observations'!G13,'Live observations'!G14)</x:f>
        <x:v>43.831</x:v>
      </x:c>
      <x:c r="D8" s="22" t="n">
        <x:f>MEDIAN('Live observations'!G12,'Live observations'!G13,'Live observations'!G14)</x:f>
        <x:v>68.715</x:v>
      </x:c>
      <x:c r="E8" s="22" t="n">
        <x:f>MAX('Live observations'!G12,'Live observations'!G13,'Live observations'!G14)</x:f>
        <x:v>94.586</x:v>
      </x:c>
      <x:c r="F8" s="13" t="str">
        <x:v>Unavailable</x:v>
      </x:c>
      <x:c r="G8" s="13" t="str">
        <x:v>Unknown; no booking submitted</x:v>
      </x:c>
      <x:c r="H8" s="13" t="str">
        <x:v>Descriptive observation window only. Different stop states, tool delays and any interleaving make speed rankings invalid.</x:v>
      </x:c>
    </x:row>
    <x:row r="9" ht="51" customHeight="1">
      <x:c r="A9" s="8" t="str">
        <x:v>Pet grooming</x:v>
      </x:c>
      <x:c r="B9" s="8" t="n">
        <x:v>3</x:v>
      </x:c>
      <x:c r="C9" s="23" t="n">
        <x:f>MIN('Live observations'!G16,'Live observations'!G17,'Live observations'!G18)</x:f>
        <x:v>38.658</x:v>
      </x:c>
      <x:c r="D9" s="23" t="n">
        <x:f>MEDIAN('Live observations'!G16,'Live observations'!G17,'Live observations'!G18)</x:f>
        <x:v>67.594</x:v>
      </x:c>
      <x:c r="E9" s="23" t="n">
        <x:f>MAX('Live observations'!G16,'Live observations'!G17,'Live observations'!G18)</x:f>
        <x:v>187.722</x:v>
      </x:c>
      <x:c r="F9" s="8" t="str">
        <x:v>Unavailable</x:v>
      </x:c>
      <x:c r="G9" s="8" t="str">
        <x:v>Unknown; no booking submitted</x:v>
      </x:c>
      <x:c r="H9" s="8" t="str">
        <x:v>Descriptive observation window only. Different stop states, tool delays and any interleaving make speed rankings invalid.</x:v>
      </x:c>
    </x:row>
    <x:row r="10" ht="51" customHeight="1">
      <x:c r="A10" s="13" t="str">
        <x:v>Fitness classes</x:v>
      </x:c>
      <x:c r="B10" s="13" t="n">
        <x:v>3</x:v>
      </x:c>
      <x:c r="C10" s="22" t="n">
        <x:f>MIN('Live observations'!G19,'Live observations'!G20,'Live observations'!G21)</x:f>
        <x:v>63.225</x:v>
      </x:c>
      <x:c r="D10" s="22" t="n">
        <x:f>MEDIAN('Live observations'!G19,'Live observations'!G20,'Live observations'!G21)</x:f>
        <x:v>77.659</x:v>
      </x:c>
      <x:c r="E10" s="22" t="n">
        <x:f>MAX('Live observations'!G19,'Live observations'!G20,'Live observations'!G21)</x:f>
        <x:v>134.14</x:v>
      </x:c>
      <x:c r="F10" s="13" t="str">
        <x:v>Unavailable</x:v>
      </x:c>
      <x:c r="G10" s="13" t="str">
        <x:v>Unknown; no booking submitted</x:v>
      </x:c>
      <x:c r="H10" s="13" t="str">
        <x:v>Descriptive observation window only. Different stop states, tool delays and any interleaving make speed rankings invalid.</x:v>
      </x:c>
    </x:row>
  </x:sheetData>
  <x:pageMargins left="0.7" right="0.7" top="0.75" bottom="0.75" header="0.3" footer="0.3"/>
  <x:tableParts count="1">
    <x:tablePart xmlns:r="http://schemas.openxmlformats.org/officeDocument/2006/relationships" r:id="Rc30a19b0604b4be3"/>
  </x:tableParts>
</x:worksheet>
</file>

<file path=xl/worksheets/sheet4.xml><?xml version="1.0" encoding="utf-8"?>
<x:worksheet xmlns:x="http://schemas.openxmlformats.org/spreadsheetml/2006/main">
  <x:sheetPr>
    <x:tabColor rgb="FF62809B"/>
  </x:sheetPr>
  <x:sheetViews>
    <x:sheetView showGridLines="0" workbookViewId="0">
      <x:pane ySplit="5" topLeftCell="A6" activePane="bottomLeft" state="frozen"/>
    </x:sheetView>
  </x:sheetViews>
  <x:sheetFormatPr defaultRowHeight="15"/>
  <x:cols>
    <x:col min="1" max="1" width="38" hidden="0" customWidth="1"/>
    <x:col min="2" max="2" width="21" hidden="0" customWidth="1"/>
    <x:col min="3" max="3" width="25" hidden="0" customWidth="1"/>
    <x:col min="4" max="4" width="84" hidden="0" customWidth="1"/>
  </x:cols>
  <x:sheetData>
    <x:row r="1">
      <x:c r="A1" s="1"/>
      <x:c r="B1" s="1"/>
      <x:c r="C1" s="1"/>
      <x:c r="D1" s="1"/>
    </x:row>
    <x:row r="2" ht="26" customHeight="1">
      <x:c r="A2" s="3" t="str">
        <x:v>Illustrative unit economics</x:v>
      </x:c>
      <x:c r="B2" s="4"/>
      <x:c r="C2" s="4"/>
      <x:c r="D2" s="4"/>
    </x:row>
    <x:row r="3">
      <x:c r="A3" s="6" t="str">
        <x:v>Amber cells are editable assumptions. Results recalculate; none are measured demand, prices, cost estimates or forecasts.</x:v>
      </x:c>
      <x:c r="B3" s="1"/>
      <x:c r="C3" s="1"/>
      <x:c r="D3" s="1"/>
    </x:row>
    <x:row r="4">
      <x:c r="A4" s="1"/>
      <x:c r="B4" s="1"/>
      <x:c r="C4" s="1"/>
      <x:c r="D4" s="1"/>
    </x:row>
    <x:row r="5" ht="42" customHeight="1">
      <x:c r="A5" s="12" t="str">
        <x:v>Driver / result</x:v>
      </x:c>
      <x:c r="B5" s="12" t="str">
        <x:v>Value</x:v>
      </x:c>
      <x:c r="C5" s="12" t="str">
        <x:v>Unit</x:v>
      </x:c>
      <x:c r="D5" s="12" t="str">
        <x:v>Meaning / limitation</x:v>
      </x:c>
    </x:row>
    <x:row r="6" ht="34" customHeight="1">
      <x:c r="A6" s="41" t="str">
        <x:v>INPUTS</x:v>
      </x:c>
      <x:c r="B6" s="41" t="str">
        <x:v>Assumption value</x:v>
      </x:c>
      <x:c r="C6" s="41" t="str">
        <x:v>Unit</x:v>
      </x:c>
      <x:c r="D6" s="41" t="str">
        <x:v>Meaning</x:v>
      </x:c>
    </x:row>
    <x:row r="7" ht="34" customHeight="1">
      <x:c r="A7" s="8" t="str">
        <x:v>Visits per operator / month</x:v>
      </x:c>
      <x:c r="B7" s="33" t="n">
        <x:v>1000</x:v>
      </x:c>
      <x:c r="C7" s="8" t="str">
        <x:v>visits</x:v>
      </x:c>
      <x:c r="D7" s="8" t="str">
        <x:v>Hypothetical workload; not observed</x:v>
      </x:c>
    </x:row>
    <x:row r="8" ht="34" customHeight="1">
      <x:c r="A8" s="13" t="str">
        <x:v>Addressable exception share</x:v>
      </x:c>
      <x:c r="B8" s="34" t="n">
        <x:v>0.05</x:v>
      </x:c>
      <x:c r="C8" s="13" t="str">
        <x:v>share of visits</x:v>
      </x:c>
      <x:c r="D8" s="13" t="str">
        <x:v>Assumed customer-initiated changes that the rail can address</x:v>
      </x:c>
    </x:row>
    <x:row r="9" ht="34" customHeight="1">
      <x:c r="A9" s="8" t="str">
        <x:v>Rail fee per operation</x:v>
      </x:c>
      <x:c r="B9" s="39" t="n">
        <x:v>2</x:v>
      </x:c>
      <x:c r="C9" s="8" t="str">
        <x:v>USD / operation</x:v>
      </x:c>
      <x:c r="D9" s="8" t="str">
        <x:v>Hypothetical single-payer charge</x:v>
      </x:c>
    </x:row>
    <x:row r="10" ht="34" customHeight="1">
      <x:c r="A10" s="13" t="str">
        <x:v>Current handling time</x:v>
      </x:c>
      <x:c r="B10" s="33" t="n">
        <x:v>3</x:v>
      </x:c>
      <x:c r="C10" s="13" t="str">
        <x:v>minutes / operation</x:v>
      </x:c>
      <x:c r="D10" s="13" t="str">
        <x:v>Assumption; change to 8 to reproduce the second illustration</x:v>
      </x:c>
    </x:row>
    <x:row r="11" ht="34" customHeight="1">
      <x:c r="A11" s="8" t="str">
        <x:v>Loaded labor cost</x:v>
      </x:c>
      <x:c r="B11" s="39" t="n">
        <x:v>30</x:v>
      </x:c>
      <x:c r="C11" s="8" t="str">
        <x:v>USD / hour</x:v>
      </x:c>
      <x:c r="D11" s="8" t="str">
        <x:v>Assumption; not wage survey evidence</x:v>
      </x:c>
    </x:row>
    <x:row r="12" ht="34" customHeight="1">
      <x:c r="A12" s="13" t="str">
        <x:v>Active operators</x:v>
      </x:c>
      <x:c r="B12" s="33" t="n">
        <x:v>100</x:v>
      </x:c>
      <x:c r="C12" s="13" t="str">
        <x:v>operators</x:v>
      </x:c>
      <x:c r="D12" s="13" t="str">
        <x:v>Assumed scale, not pipeline or adoption</x:v>
      </x:c>
    </x:row>
    <x:row r="13" ht="34" customHeight="1">
      <x:c r="A13" s="8" t="str">
        <x:v>Upstream fee</x:v>
      </x:c>
      <x:c r="B13" s="39" t="n">
        <x:v>0.5</x:v>
      </x:c>
      <x:c r="C13" s="8" t="str">
        <x:v>USD / operation</x:v>
      </x:c>
      <x:c r="D13" s="8" t="str">
        <x:v>Assumed contract cost, not a vendor quote</x:v>
      </x:c>
    </x:row>
    <x:row r="14" ht="34" customHeight="1">
      <x:c r="A14" s="13" t="str">
        <x:v>Infrastructure cost</x:v>
      </x:c>
      <x:c r="B14" s="39" t="n">
        <x:v>0.1</x:v>
      </x:c>
      <x:c r="C14" s="13" t="str">
        <x:v>USD / operation</x:v>
      </x:c>
      <x:c r="D14" s="13" t="str">
        <x:v>Assumed variable infrastructure cost</x:v>
      </x:c>
    </x:row>
    <x:row r="15" ht="34" customHeight="1">
      <x:c r="A15" s="8" t="str">
        <x:v>Human exception share</x:v>
      </x:c>
      <x:c r="B15" s="34" t="n">
        <x:v>0.1</x:v>
      </x:c>
      <x:c r="C15" s="8" t="str">
        <x:v>share of operations</x:v>
      </x:c>
      <x:c r="D15" s="8" t="str">
        <x:v>Change to 30% with 10 support minutes for the downside illustration</x:v>
      </x:c>
    </x:row>
    <x:row r="16" ht="34" customHeight="1">
      <x:c r="A16" s="13" t="str">
        <x:v>Support minutes when escalated</x:v>
      </x:c>
      <x:c r="B16" s="33" t="n">
        <x:v>6</x:v>
      </x:c>
      <x:c r="C16" s="13" t="str">
        <x:v>minutes / exception</x:v>
      </x:c>
      <x:c r="D16" s="13" t="str">
        <x:v>Change to 10 with 30% exception share for downside</x:v>
      </x:c>
    </x:row>
    <x:row r="17" ht="34" customHeight="1">
      <x:c r="A17" s="41" t="str">
        <x:v>CALCULATIONS</x:v>
      </x:c>
      <x:c r="B17" s="41"/>
      <x:c r="C17" s="41" t="str">
        <x:v>Unit</x:v>
      </x:c>
      <x:c r="D17" s="41" t="str">
        <x:v>Formula meaning</x:v>
      </x:c>
    </x:row>
    <x:row r="18" ht="34" customHeight="1">
      <x:c r="A18" s="13" t="str">
        <x:v>Addressable operations / operator</x:v>
      </x:c>
      <x:c r="B18" s="35" t="n">
        <x:f>IF(COUNT(B7:B8)=2,B7*B8,"Unavailable")</x:f>
        <x:v>50</x:v>
      </x:c>
      <x:c r="C18" s="13" t="str">
        <x:v>operations / month</x:v>
      </x:c>
      <x:c r="D18" s="13" t="str">
        <x:v>Visits × exception share; not all visits are new bookings</x:v>
      </x:c>
    </x:row>
    <x:row r="19" ht="34" customHeight="1">
      <x:c r="A19" s="8" t="str">
        <x:v>Revenue / operator</x:v>
      </x:c>
      <x:c r="B19" s="36" t="n">
        <x:f>IF(COUNT(B18,B9)=2,B18*B9,"Unavailable")</x:f>
        <x:v>100</x:v>
      </x:c>
      <x:c r="C19" s="8" t="str">
        <x:v>USD / month</x:v>
      </x:c>
      <x:c r="D19" s="8" t="str">
        <x:v>Addressable operations × fee</x:v>
      </x:c>
    </x:row>
    <x:row r="20" ht="34" customHeight="1">
      <x:c r="A20" s="13" t="str">
        <x:v>Gross labor value / operator</x:v>
      </x:c>
      <x:c r="B20" s="37" t="n">
        <x:f>IF(COUNT(B18,B10:B11)=3,B18*B10/60*B11,"Unavailable")</x:f>
        <x:v>75</x:v>
      </x:c>
      <x:c r="C20" s="13" t="str">
        <x:v>USD / month</x:v>
      </x:c>
      <x:c r="D20" s="13" t="str">
        <x:v>Operations × baseline minutes ÷ 60 × loaded labor cost; before residual work</x:v>
      </x:c>
    </x:row>
    <x:row r="21" ht="34" customHeight="1">
      <x:c r="A21" s="8" t="str">
        <x:v>Gross labor value less fee</x:v>
      </x:c>
      <x:c r="B21" s="36" t="n">
        <x:f>IF(COUNT(B19:B20)=2,B20-B19,"Unavailable")</x:f>
        <x:v>-25</x:v>
      </x:c>
      <x:c r="C21" s="8" t="str">
        <x:v>USD / month</x:v>
      </x:c>
      <x:c r="D21" s="8" t="str">
        <x:v>Gross value minus operator fee; before residual work and implementation</x:v>
      </x:c>
    </x:row>
    <x:row r="22" ht="34" customHeight="1">
      <x:c r="A22" s="13" t="str">
        <x:v>Total monthly operations</x:v>
      </x:c>
      <x:c r="B22" s="35" t="n">
        <x:f>IF(COUNT(B12,B18)=2,B12*B18,"Unavailable")</x:f>
        <x:v>5000</x:v>
      </x:c>
      <x:c r="C22" s="13" t="str">
        <x:v>operations / month</x:v>
      </x:c>
      <x:c r="D22" s="13" t="str">
        <x:v>Operators × operations per operator</x:v>
      </x:c>
    </x:row>
    <x:row r="23" ht="34" customHeight="1">
      <x:c r="A23" s="8" t="str">
        <x:v>Total monthly revenue</x:v>
      </x:c>
      <x:c r="B23" s="36" t="n">
        <x:f>IF(COUNT(B22,B9)=2,B22*B9,"Unavailable")</x:f>
        <x:v>10000</x:v>
      </x:c>
      <x:c r="C23" s="8" t="str">
        <x:v>USD / month</x:v>
      </x:c>
      <x:c r="D23" s="8" t="str">
        <x:v>Operations × fee; arithmetic only, not revenue forecast</x:v>
      </x:c>
    </x:row>
    <x:row r="24" ht="34" customHeight="1">
      <x:c r="A24" s="13" t="str">
        <x:v>Expected support cost</x:v>
      </x:c>
      <x:c r="B24" s="37" t="n">
        <x:f>IF(COUNT(B15:B16,B11)=3,B15*B16/60*B11,"Unavailable")</x:f>
        <x:v>0.30000000000000004</x:v>
      </x:c>
      <x:c r="C24" s="13" t="str">
        <x:v>USD / operation</x:v>
      </x:c>
      <x:c r="D24" s="13" t="str">
        <x:v>Exception share × support minutes ÷ 60 × labor cost</x:v>
      </x:c>
    </x:row>
    <x:row r="25" ht="34" customHeight="1">
      <x:c r="A25" s="8" t="str">
        <x:v>Total variable cost</x:v>
      </x:c>
      <x:c r="B25" s="36" t="n">
        <x:f>IF(COUNT(B13:B14,B24)=3,SUM(B13:B14)+B24,"Unavailable")</x:f>
        <x:v>0.9</x:v>
      </x:c>
      <x:c r="C25" s="8" t="str">
        <x:v>USD / operation</x:v>
      </x:c>
      <x:c r="D25" s="8" t="str">
        <x:v>Upstream + infrastructure + support</x:v>
      </x:c>
    </x:row>
    <x:row r="26" ht="34" customHeight="1">
      <x:c r="A26" s="13" t="str">
        <x:v>Contribution</x:v>
      </x:c>
      <x:c r="B26" s="37" t="n">
        <x:f>IF(COUNT(B9,B25)=2,B9-B25,"Unavailable")</x:f>
        <x:v>1.1</x:v>
      </x:c>
      <x:c r="C26" s="13" t="str">
        <x:v>USD / operation</x:v>
      </x:c>
      <x:c r="D26" s="13" t="str">
        <x:v>Fee minus variable cost; excludes fixed cost</x:v>
      </x:c>
    </x:row>
    <x:row r="27" ht="34" customHeight="1">
      <x:c r="A27" s="8" t="str">
        <x:v>Contribution margin</x:v>
      </x:c>
      <x:c r="B27" s="38" t="n">
        <x:f>IF(COUNT(B9,B26)=2,IF(B9=0,"Unavailable",B26/B9),"Unavailable")</x:f>
        <x:v>0.55</x:v>
      </x:c>
      <x:c r="C27" s="8" t="str">
        <x:v>share of fee</x:v>
      </x:c>
      <x:c r="D27" s="8" t="str">
        <x:v>Contribution ÷ fee; unavailable when fee is zero</x:v>
      </x:c>
    </x:row>
    <x:row r="28" ht="64" customHeight="1">
      <x:c r="A28" s="13" t="str">
        <x:v>LIMITATIONS</x:v>
      </x:c>
      <x:c r="B28" s="13" t="str">
        <x:v>All inputs are assumptions</x:v>
      </x:c>
      <x:c r="C28" s="13" t="str"/>
      <x:c r="D28" s="13" t="str">
        <x:v>Excludes fixed engineering, sales, acquisition, onboarding, refunds, disputes, compensation, payment and unmodeled compliance costs. Replace inputs with measured contracts/labor before using for a decision. No multiple-payer stacking is assumed.</x:v>
      </x:c>
    </x:row>
    <x:row r="29" ht="51" customHeight="1">
      <x:c r="A29" s="8" t="str">
        <x:v>Source</x:v>
      </x:c>
      <x:c r="B29" s="8" t="str">
        <x:v>Decision framework, economics illustrations</x:v>
      </x:c>
      <x:c r="C29" s="8" t="str"/>
      <x:c r="D29" s="8" t="str">
        <x:v>The favorable and downside points use one calculator; edit amber inputs, do not interpret them as alternative forecasts.</x:v>
      </x:c>
    </x:row>
  </x:sheetData>
  <x:pageMargins left="0.7" right="0.7" top="0.75" bottom="0.75" header="0.3" footer="0.3"/>
  <x:tableParts count="1">
    <x:tablePart xmlns:r="http://schemas.openxmlformats.org/officeDocument/2006/relationships" r:id="R7d8cf1d179ad4ec9"/>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25" hidden="0" customWidth="1"/>
    <x:col min="3" max="3" width="18" hidden="0" customWidth="1"/>
    <x:col min="4" max="4" width="59" hidden="0" customWidth="1"/>
    <x:col min="5" max="5" width="53" hidden="0" customWidth="1"/>
    <x:col min="6" max="6" width="57" hidden="0" customWidth="1"/>
    <x:col min="7" max="7" width="55" hidden="0" customWidth="1"/>
    <x:col min="8" max="8" width="55" hidden="0" customWidth="1"/>
    <x:col min="9" max="9" width="59" hidden="0" customWidth="1"/>
    <x:col min="10" max="10" width="46" hidden="0" customWidth="1"/>
    <x:col min="11" max="11" width="20" hidden="0" customWidth="1"/>
    <x:col min="12" max="12" width="47" hidden="0" customWidth="1"/>
  </x:cols>
  <x:sheetData>
    <x:row r="1">
      <x:c r="A1" s="1"/>
      <x:c r="B1" s="1"/>
      <x:c r="C1" s="1"/>
      <x:c r="D1" s="1"/>
      <x:c r="E1" s="1"/>
      <x:c r="F1" s="1"/>
      <x:c r="G1" s="1"/>
      <x:c r="H1" s="1"/>
      <x:c r="I1" s="1"/>
      <x:c r="J1" s="1"/>
      <x:c r="K1" s="1"/>
      <x:c r="L1" s="1"/>
    </x:row>
    <x:row r="2" ht="26" customHeight="1">
      <x:c r="A2" s="3" t="str">
        <x:v>API access and lifecycle matrix</x:v>
      </x:c>
      <x:c r="B2" s="4"/>
      <x:c r="C2" s="4"/>
      <x:c r="D2" s="4"/>
      <x:c r="E2" s="4"/>
      <x:c r="F2" s="4"/>
      <x:c r="G2" s="4"/>
      <x:c r="H2" s="4"/>
      <x:c r="I2" s="4"/>
      <x:c r="J2" s="4"/>
      <x:c r="K2" s="4"/>
      <x:c r="L2" s="4"/>
    </x:row>
    <x:row r="3">
      <x:c r="A3" s="6" t="str">
        <x:v>18 platform/distribution rows. D = documented, C = conditional, U = unverified. No API executed.</x:v>
      </x:c>
      <x:c r="B3" s="1"/>
      <x:c r="C3" s="1"/>
      <x:c r="D3" s="1"/>
      <x:c r="E3" s="1"/>
      <x:c r="F3" s="1"/>
      <x:c r="G3" s="1"/>
      <x:c r="H3" s="1"/>
      <x:c r="I3" s="1"/>
      <x:c r="J3" s="1"/>
      <x:c r="K3" s="1"/>
      <x:c r="L3" s="1"/>
    </x:row>
    <x:row r="4">
      <x:c r="A4" s="1"/>
      <x:c r="B4" s="1"/>
      <x:c r="C4" s="1"/>
      <x:c r="D4" s="1"/>
      <x:c r="E4" s="1"/>
      <x:c r="F4" s="1"/>
      <x:c r="G4" s="1"/>
      <x:c r="H4" s="1"/>
      <x:c r="I4" s="1"/>
      <x:c r="J4" s="1"/>
      <x:c r="K4" s="1"/>
      <x:c r="L4" s="1"/>
    </x:row>
    <x:row r="5" ht="42" customHeight="1">
      <x:c r="A5" s="12" t="str">
        <x:v>Platform / route</x:v>
      </x:c>
      <x:c r="B5" s="12" t="str">
        <x:v>Segments</x:v>
      </x:c>
      <x:c r="C5" s="12" t="str">
        <x:v>Documentary feasibility</x:v>
      </x:c>
      <x:c r="D5" s="12" t="str">
        <x:v>Production access and gate</x:v>
      </x:c>
      <x:c r="E5" s="12" t="str">
        <x:v>Availability evidence</x:v>
      </x:c>
      <x:c r="F5" s="12" t="str">
        <x:v>Write and commercial offer</x:v>
      </x:c>
      <x:c r="G5" s="12" t="str">
        <x:v>Unverified functions / limits</x:v>
      </x:c>
      <x:c r="H5" s="12" t="str">
        <x:v>Consistency and lifecycle</x:v>
      </x:c>
      <x:c r="I5" s="12" t="str">
        <x:v>Critical caveat</x:v>
      </x:c>
      <x:c r="J5" s="12" t="str">
        <x:v>Evidence reviewed</x:v>
      </x:c>
      <x:c r="K5" s="12" t="str">
        <x:v>Source IDs</x:v>
      </x:c>
      <x:c r="L5" s="12" t="str">
        <x:v>Execution status</x:v>
      </x:c>
    </x:row>
    <x:row r="6" ht="51" customHeight="1">
      <x:c r="A6" s="13" t="str">
        <x:v>Housecall Pro</x:v>
      </x:c>
      <x:c r="B6" s="13" t="str">
        <x:v>Home cleaning; lawn care; field services</x:v>
      </x:c>
      <x:c r="C6" s="13" t="str">
        <x:v>D/C</x:v>
      </x:c>
      <x:c r="D6" s="13" t="str">
        <x:v>MAX or XL in current developer overview; MAX in help; merchant API key or approved integration-partner OAuth contract</x:v>
      </x:c>
      <x:c r="E6" s="13" t="str">
        <x:v>D: employee/service-filtered booking windows from Online Booking settings</x:v>
      </x:c>
      <x:c r="F6" s="13" t="str">
        <x:v>D: POST /jobs with customer/address; price-form calculation; appointments create/update/delete</x:v>
      </x:c>
      <x:c r="G6" s="13" t="str">
        <x:v>U: expiring hold; native idempotency; atomic quote-capacity-payment; true job cancellation write</x:v>
      </x:c>
      <x:c r="H6" s="13" t="str">
        <x:v>D: scheduled/created and other lifecycle events; verify consumer notification delivery</x:v>
      </x:c>
      <x:c r="I6" s="13" t="str">
        <x:v>API key/custom versus partner OAuth; separate Partner Jobs work-order/lead program</x:v>
      </x:c>
      <x:c r="J6" s="13" t="str">
        <x:v>Primary documentation; source-level access mode varies, see Sources</x:v>
      </x:c>
      <x:c r="K6" s="13" t="str">
        <x:v>HCP1–6</x:v>
      </x:c>
      <x:c r="L6" s="13" t="str">
        <x:v>Untested: no API credential, authorized tenant, API call or production booking</x:v>
      </x:c>
    </x:row>
    <x:row r="7" ht="51" customHeight="1">
      <x:c r="A7" s="8" t="str">
        <x:v>Jobber</x:v>
      </x:c>
      <x:c r="B7" s="8" t="str">
        <x:v>Cleaning; lawn; home services</x:v>
      </x:c>
      <x:c r="C7" s="8" t="str">
        <x:v>U for full direct booking</x:v>
      </x:c>
      <x:c r="D7" s="8" t="str">
        <x:v>Admin OAuth; review above five paying accounts and for Marketplace</x:v>
      </x:c>
      <x:c r="E7" s="8" t="str">
        <x:v>Native online-booking availability D; public external slot contract U</x:v>
      </x:c>
      <x:c r="F7" s="8" t="str">
        <x:v>Native forms job/assessment D; authenticated GraphQL mutation set not inspected</x:v>
      </x:c>
      <x:c r="G7" s="8" t="str">
        <x:v>U: complete external buyer-safe job/visit commit/hold/payment/reschedule contract</x:v>
      </x:c>
      <x:c r="H7" s="8" t="str">
        <x:v>D: platform webhooks; exact confirmed-booking event U in this pass</x:v>
      </x:c>
      <x:c r="I7" s="8" t="str">
        <x:v>Native ChatGPT/Claude integration cannot create jobs/invoices or alter schedule; native AI Receptionist capability is separate</x:v>
      </x:c>
      <x:c r="J7" s="8" t="str">
        <x:v>Primary documentation; source-level access mode varies, see Sources</x:v>
      </x:c>
      <x:c r="K7" s="8" t="str">
        <x:v>JOB1–6</x:v>
      </x:c>
      <x:c r="L7" s="8" t="str">
        <x:v>Untested: no API credential, authorized tenant, API call or production booking</x:v>
      </x:c>
    </x:row>
    <x:row r="8" ht="51" customHeight="1">
      <x:c r="A8" s="13" t="str">
        <x:v>ServiceTitan</x:v>
      </x:c>
      <x:c r="B8" s="13" t="str">
        <x:v>Home-service dispatch and maintenance</x:v>
      </x:c>
      <x:c r="C8" s="13" t="str">
        <x:v>D/C admin job writes</x:v>
      </x:c>
      <x:c r="D8" s="13" t="str">
        <x:v>Third-party assigned integration env; platform review + tenant enablement; app key and tenant OAuth client credentials</x:v>
      </x:c>
      <x:c r="E8" s="13" t="str">
        <x:v>Native adaptive/adjustable capacity D/C; exact API slot contract U</x:v>
      </x:c>
      <x:c r="F8" s="13" t="str">
        <x:v>D: CRM Bookings_Create request versus JPM Jobs_Create actual job object distinction (not necessarily staffed/confirmed); reschedule/cancel present</x:v>
      </x:c>
      <x:c r="G8" s="13" t="str">
        <x:v>U: atomic capacity commitment, hold, native idempotency, checkout linkage</x:v>
      </x:c>
      <x:c r="H8" s="13" t="str">
        <x:v>D: appointment states and isConfirmed; webhook confirmation contract U</x:v>
      </x:c>
      <x:c r="I8" s="13" t="str">
        <x:v>No customer tunneling; scope-change approvals for certified third-party apps; technician assignment may remain pending</x:v>
      </x:c>
      <x:c r="J8" s="13" t="str">
        <x:v>Primary documentation; source-level access mode varies, see Sources</x:v>
      </x:c>
      <x:c r="K8" s="13" t="str">
        <x:v>ST1–7</x:v>
      </x:c>
      <x:c r="L8" s="13" t="str">
        <x:v>Untested: no API credential, authorized tenant, API call or production booking</x:v>
      </x:c>
    </x:row>
    <x:row r="9" ht="51" customHeight="1">
      <x:c r="A9" s="8" t="str">
        <x:v>Square</x:v>
      </x:c>
      <x:c r="B9" s="8" t="str">
        <x:v>Beauty/barber; standardized service appointments</x:v>
      </x:c>
      <x:c r="C9" s="8" t="str">
        <x:v>D/C</x:v>
      </x:c>
      <x:c r="D9" s="8" t="str">
        <x:v>Seller-connected OAuth; buyer writes free Appointments; seller writes Plus/Premium</x:v>
      </x:c>
      <x:c r="E9" s="8" t="str">
        <x:v>D: SearchAvailability using native service/staff/location</x:v>
      </x:c>
      <x:c r="F9" s="8" t="str">
        <x:v>D: create/update/cancel; variation version, staff, start, location/customer</x:v>
      </x:c>
      <x:c r="G9" s="8" t="str">
        <x:v>No API booking of nonzero cancellation-fee service; deposit locks appointment segments; hold U</x:v>
      </x:c>
      <x:c r="H9" s="8" t="str">
        <x:v>D: idempotency keys and booking version; booking.created/updated; notifications differ by permission level</x:v>
      </x:c>
      <x:c r="I9" s="8" t="str">
        <x:v>Buyer permission is not anonymous merchant-network access; seller mode can double-book and override hours</x:v>
      </x:c>
      <x:c r="J9" s="8" t="str">
        <x:v>Primary documentation; source-level access mode varies, see Sources</x:v>
      </x:c>
      <x:c r="K9" s="8" t="str">
        <x:v>SQ1–6</x:v>
      </x:c>
      <x:c r="L9" s="8" t="str">
        <x:v>Untested: no API credential, authorized tenant, API call or production booking</x:v>
      </x:c>
    </x:row>
    <x:row r="10" ht="64" customHeight="1">
      <x:c r="A10" s="13" t="str">
        <x:v>Mindbody</x:v>
      </x:c>
      <x:c r="B10" s="13" t="str">
        <x:v>Fitness/classes; wellness appointments</x:v>
      </x:c>
      <x:c r="C10" s="13" t="str">
        <x:v>D/C</x:v>
      </x:c>
      <x:c r="D10" s="13" t="str">
        <x:v>Go-live approval + business activation; distinguish Public/Consumer/Affiliate contracts</x:v>
      </x:c>
      <x:c r="E10" s="13" t="str">
        <x:v>D: staff/resource bookable items</x:v>
      </x:c>
      <x:c r="F10" s="13" t="str">
        <x:v>D: appointment/class booking; checkout; May2026 atomic multiappointment/add-ons</x:v>
      </x:c>
      <x:c r="G10" s="13" t="str">
        <x:v>U: generic capacity lease; published USD pricing/classification needs contract confirmation; FAQ says all locations under connected Site ID incur fees, even unused; no scaled/bulk pricing currently</x:v>
      </x:c>
      <x:c r="H10" s="13" t="str">
        <x:v>D: Public booking deduplication; Affiliate 24h idempotency contract separately; webhooks</x:v>
      </x:c>
      <x:c r="I10" s="13" t="str">
        <x:v>Membership/pass entitlement and late-cancel rules; pricing fee shape can matter</x:v>
      </x:c>
      <x:c r="J10" s="13" t="str">
        <x:v>Primary documentation; source-level access mode varies, see Sources</x:v>
      </x:c>
      <x:c r="K10" s="13" t="str">
        <x:v>MB1–6</x:v>
      </x:c>
      <x:c r="L10" s="13" t="str">
        <x:v>Untested: no API credential, authorized tenant, API call or production booking</x:v>
      </x:c>
    </x:row>
    <x:row r="11" ht="38" customHeight="1">
      <x:c r="A11" s="8" t="str">
        <x:v>Vagaro</x:v>
      </x:c>
      <x:c r="B11" s="8" t="str">
        <x:v>Beauty/wellness</x:v>
      </x:c>
      <x:c r="C11" s="8" t="str">
        <x:v>Partial D; commit U</x:v>
      </x:c>
      <x:c r="D11" s="8" t="str">
        <x:v>Nontrial business + Credit Card Processing; access request; up to seven business days</x:v>
      </x:c>
      <x:c r="E11" s="8" t="str">
        <x:v>D: POST appointments/availability with read-access token</x:v>
      </x:c>
      <x:c r="F11" s="8" t="str">
        <x:v>D: retrieve appointment/services; appointment-create/reschedule/cancel not found in public index</x:v>
      </x:c>
      <x:c r="G11" s="8" t="str">
        <x:v>U: booking commit/hold/payment/idempotency</x:v>
      </x:c>
      <x:c r="H11" s="8" t="str">
        <x:v>D: paid webhooks; actual booking commit unverified</x:v>
      </x:c>
      <x:c r="I11" s="8" t="str">
        <x:v>Employee/task writes do not prove appointment writes</x:v>
      </x:c>
      <x:c r="J11" s="8" t="str">
        <x:v>Primary documentation; source-level access mode varies, see Sources</x:v>
      </x:c>
      <x:c r="K11" s="8" t="str">
        <x:v>VAG1–3</x:v>
      </x:c>
      <x:c r="L11" s="8" t="str">
        <x:v>Untested: no API credential, authorized tenant, API call or production booking</x:v>
      </x:c>
    </x:row>
    <x:row r="12" ht="38" customHeight="1">
      <x:c r="A12" s="13" t="str">
        <x:v>Fresha</x:v>
      </x:c>
      <x:c r="B12" s="13" t="str">
        <x:v>Beauty/wellness</x:v>
      </x:c>
      <x:c r="C12" s="13" t="str">
        <x:v>U transactional rail</x:v>
      </x:c>
      <x:c r="D12" s="13" t="str">
        <x:v>Paid Data connector verified; booking partnership terms unknown</x:v>
      </x:c>
      <x:c r="E12" s="13" t="str">
        <x:v>U via supported external transaction API</x:v>
      </x:c>
      <x:c r="F12" s="13" t="str">
        <x:v>U booking writes; Snowflake reporting export is verified</x:v>
      </x:c>
      <x:c r="G12" s="13" t="str">
        <x:v>U: write/hold/payment/booking webhook</x:v>
      </x:c>
      <x:c r="H12" s="13" t="str">
        <x:v>Native notifications exist but not evidence of external transaction contract</x:v>
      </x:c>
      <x:c r="I12" s="13" t="str">
        <x:v>Do not equate analytics data connector or public booking widget to permission for booking writes</x:v>
      </x:c>
      <x:c r="J12" s="13" t="str">
        <x:v>Primary documentation; source-level access mode varies, see Sources</x:v>
      </x:c>
      <x:c r="K12" s="13" t="str">
        <x:v>FRE1–2</x:v>
      </x:c>
      <x:c r="L12" s="13" t="str">
        <x:v>Untested: no API credential, authorized tenant, API call or production booking</x:v>
      </x:c>
    </x:row>
    <x:row r="13" ht="38" customHeight="1">
      <x:c r="A13" s="8" t="str">
        <x:v>OpenTable</x:v>
      </x:c>
      <x:c r="B13" s="8" t="str">
        <x:v>Restaurants</x:v>
      </x:c>
      <x:c r="C13" s="8" t="str">
        <x:v>D/C</x:v>
      </x:c>
      <x:c r="D13" s="8" t="str">
        <x:v>Partner approval + formal production agreement; API eligibility and costs vary</x:v>
      </x:c>
      <x:c r="E13" s="8" t="str">
        <x:v>D: availability search and five-minute inventory locks</x:v>
      </x:c>
      <x:c r="F13" s="8" t="str">
        <x:v>D: reservation/create/modify/cancel; visual Consumer v2 vs Voice/In-House route</x:v>
      </x:c>
      <x:c r="G13" s="8" t="str">
        <x:v>Payment holds/prepay/post-booking requirements; sandbox coverage not universal</x:v>
      </x:c>
      <x:c r="H13" s="8" t="str">
        <x:v>D: X-Request-Id idempotency; management/payment statuses</x:v>
      </x:c>
      <x:c r="I13" s="8" t="str">
        <x:v>Terms acceptance channel and partner use-case restrictions; not public consumer write access</x:v>
      </x:c>
      <x:c r="J13" s="8" t="str">
        <x:v>Primary documentation; source-level access mode varies, see Sources</x:v>
      </x:c>
      <x:c r="K13" s="8" t="str">
        <x:v>OT1–2</x:v>
      </x:c>
      <x:c r="L13" s="8" t="str">
        <x:v>Untested: no API credential, authorized tenant, API call or production booking</x:v>
      </x:c>
    </x:row>
    <x:row r="14" ht="38" customHeight="1">
      <x:c r="A14" s="13" t="str">
        <x:v>Calendly</x:v>
      </x:c>
      <x:c r="B14" s="13" t="str">
        <x:v>Office/professional meetings</x:v>
      </x:c>
      <x:c r="C14" s="13" t="str">
        <x:v>D/C</x:v>
      </x:c>
      <x:c r="D14" s="13" t="str">
        <x:v>Paid Standard+ for scheduling writes; OAuth host/admin authorization</x:v>
      </x:c>
      <x:c r="E14" s="13" t="str">
        <x:v>D: event_type_available_times</x:v>
      </x:c>
      <x:c r="F14" s="13" t="str">
        <x:v>D: POST /invitees; cancellation and management URLs; MCP create_invitee</x:v>
      </x:c>
      <x:c r="G14" s="13" t="str">
        <x:v>U: native idempotency/hold/payment; reschedule URL is not direct endpoint</x:v>
      </x:c>
      <x:c r="H14" s="13" t="str">
        <x:v>D: configured notifications/workflows; return event/invitee references</x:v>
      </x:c>
      <x:c r="I14" s="13" t="str">
        <x:v>Already a native agent rail; does not grant arbitrary external-host access</x:v>
      </x:c>
      <x:c r="J14" s="13" t="str">
        <x:v>Primary documentation; source-level access mode varies, see Sources</x:v>
      </x:c>
      <x:c r="K14" s="13" t="str">
        <x:v>CAL1–3</x:v>
      </x:c>
      <x:c r="L14" s="13" t="str">
        <x:v>Untested: no API credential, authorized tenant, API call or production booking</x:v>
      </x:c>
    </x:row>
    <x:row r="15" ht="38" customHeight="1">
      <x:c r="A15" s="8" t="str">
        <x:v>OnceHub</x:v>
      </x:c>
      <x:c r="B15" s="8" t="str">
        <x:v>Office/professional meetings</x:v>
      </x:c>
      <x:c r="C15" s="8" t="str">
        <x:v>D/C</x:v>
      </x:c>
      <x:c r="D15" s="8" t="str">
        <x:v>Schedule-plan API key agent MCP; active account/calendar</x:v>
      </x:c>
      <x:c r="E15" s="8" t="str">
        <x:v>D: get_booking_time_slots honors busy times/buffers</x:v>
      </x:c>
      <x:c r="F15" s="8" t="str">
        <x:v>D: schedule_meeting; cancel/request-reschedule via native tools</x:v>
      </x:c>
      <x:c r="G15" s="8" t="str">
        <x:v>U: hold/idempotency/payment; approval-required meetings differ from confirmed</x:v>
      </x:c>
      <x:c r="H15" s="8" t="str">
        <x:v>D: lifecycle webhooks and pending-request tools</x:v>
      </x:c>
      <x:c r="I15" s="8" t="str">
        <x:v>Native agent rail launched Feb12 2026; account-level versus user-facing MCP scope differs</x:v>
      </x:c>
      <x:c r="J15" s="8" t="str">
        <x:v>Primary documentation; source-level access mode varies, see Sources</x:v>
      </x:c>
      <x:c r="K15" s="8" t="str">
        <x:v>ONC1–4</x:v>
      </x:c>
      <x:c r="L15" s="8" t="str">
        <x:v>Untested: no API credential, authorized tenant, API call or production booking</x:v>
      </x:c>
    </x:row>
    <x:row r="16" ht="51" customHeight="1">
      <x:c r="A16" s="13" t="str">
        <x:v>Shopmonkey</x:v>
      </x:c>
      <x:c r="B16" s="13" t="str">
        <x:v>Auto servicing</x:v>
      </x:c>
      <x:c r="C16" s="13" t="str">
        <x:v>D admin calendar CRUD; consumer rail U</x:v>
      </x:c>
      <x:c r="D16" s="13" t="str">
        <x:v>Admin-created API keys inherit creator permissions; no public OAuth consent onboarding established</x:v>
      </x:c>
      <x:c r="E16" s="13" t="str">
        <x:v>U: consumer available-slot/resource capacity endpoint</x:v>
      </x:c>
      <x:c r="F16" s="13" t="str">
        <x:v>D: POST/PUT/DELETE appointment; customer/vehicle/order/technician associations</x:v>
      </x:c>
      <x:c r="G16" s="13" t="str">
        <x:v>U: all-in quote, bay/parts/technician-feasible slot/hold/native idempotency</x:v>
      </x:c>
      <x:c r="H16" s="13" t="str">
        <x:v>D: confirmation fields, signed webhooks/retry headers; write alone not service guarantee</x:v>
      </x:c>
      <x:c r="I16" s="13" t="str">
        <x:v>Can create an appointment without proving feasible priced service; distinguish API auth terminology from actual key onboarding</x:v>
      </x:c>
      <x:c r="J16" s="13" t="str">
        <x:v>Primary documentation; source-level access mode varies, see Sources</x:v>
      </x:c>
      <x:c r="K16" s="13" t="str">
        <x:v>AUTO1–3</x:v>
      </x:c>
      <x:c r="L16" s="13" t="str">
        <x:v>Untested: no API credential, authorized tenant, API call or production booking</x:v>
      </x:c>
    </x:row>
    <x:row r="17" ht="38" customHeight="1">
      <x:c r="A17" s="8" t="str">
        <x:v>Tekmetric</x:v>
      </x:c>
      <x:c r="B17" s="8" t="str">
        <x:v>Auto servicing</x:v>
      </x:c>
      <x:c r="C17" s="8" t="str">
        <x:v>U external transaction rail</x:v>
      </x:c>
      <x:c r="D17" s="8" t="str">
        <x:v>Native widget installation documented; third-party production access U</x:v>
      </x:c>
      <x:c r="E17" s="8" t="str">
        <x:v>D native booking UI; external API U</x:v>
      </x:c>
      <x:c r="F17" s="8" t="str">
        <x:v>U: primary public appointment-write contract</x:v>
      </x:c>
      <x:c r="G17" s="8" t="str">
        <x:v>U: pricing/capacity/hold/idempotency contract</x:v>
      </x:c>
      <x:c r="H17" s="8" t="str">
        <x:v>U external booking lifecycle</x:v>
      </x:c>
      <x:c r="I17" s="8" t="str">
        <x:v>Widget or private integration testimonial cannot establish startup API access</x:v>
      </x:c>
      <x:c r="J17" s="8" t="str">
        <x:v>Primary documentation; source-level access mode varies, see Sources</x:v>
      </x:c>
      <x:c r="K17" s="8" t="str">
        <x:v>AUTO4</x:v>
      </x:c>
      <x:c r="L17" s="8" t="str">
        <x:v>Untested: no API credential, authorized tenant, API call or production booking</x:v>
      </x:c>
    </x:row>
    <x:row r="18" ht="38" customHeight="1">
      <x:c r="A18" s="13" t="str">
        <x:v>Gingr</x:v>
      </x:c>
      <x:c r="B18" s="13" t="str">
        <x:v>Pet grooming/boarding/daycare</x:v>
      </x:c>
      <x:c r="C18" s="13" t="str">
        <x:v>D/C across distinct API surfaces</x:v>
      </x:c>
      <x:c r="D18" s="13" t="str">
        <x:v>Older Public vs Partner API vs new v1.8.1 docs; new startup eligibility unresolved</x:v>
      </x:c>
      <x:c r="E18" s="13" t="str">
        <x:v>D: partner capacity/specialists; new index lodging/capacity</x:v>
      </x:c>
      <x:c r="F18" s="13" t="str">
        <x:v>D: partner create/update; new booking create/update/cancel/accept/checkout index</x:v>
      </x:c>
      <x:c r="G18" s="13" t="str">
        <x:v>Some validation/estimate endpoints beta; do not mix API versions/auth; hold/idempotency U</x:v>
      </x:c>
      <x:c r="H18" s="13" t="str">
        <x:v>D partner accepted/confirmed/waitlisted/cancelled webhooks</x:v>
      </x:c>
      <x:c r="I18" s="13" t="str">
        <x:v>Vaccines/forms/agreements/evaluations beyond slot; old quick_checkin not future booking rail</x:v>
      </x:c>
      <x:c r="J18" s="13" t="str">
        <x:v>Primary documentation; source-level access mode varies, see Sources</x:v>
      </x:c>
      <x:c r="K18" s="13" t="str">
        <x:v>PET1–3</x:v>
      </x:c>
      <x:c r="L18" s="13" t="str">
        <x:v>Untested: no API credential, authorized tenant, API call or production booking</x:v>
      </x:c>
    </x:row>
    <x:row r="19" ht="51" customHeight="1">
      <x:c r="A19" s="8" t="str">
        <x:v>MoeGo</x:v>
      </x:c>
      <x:c r="B19" s="8" t="str">
        <x:v>Pet grooming/boarding/daycare</x:v>
      </x:c>
      <x:c r="C19" s="8" t="str">
        <x:v>D/C; documented not production-tested</x:v>
      </x:c>
      <x:c r="D19" s="8" t="str">
        <x:v>Official API platform listed Enterprise; supported contract/version needs vendor confirmation</x:v>
      </x:c>
      <x:c r="E19" s="8" t="str">
        <x:v>Consumer availability U in this pass</x:v>
      </x:c>
      <x:c r="F19" s="8" t="str">
        <x:v>Verified publisher GitHub create/reschedule/cancel with pets/services/staff/lodging</x:v>
      </x:c>
      <x:c r="G19" s="8" t="str">
        <x:v>ignoreConflict defaults true; automatic messaging defaults false; no hold/idempotency verified</x:v>
      </x:c>
      <x:c r="H19" s="8" t="str">
        <x:v>UNCONFIRMED vs CONFIRMED and payment states separate</x:v>
      </x:c>
      <x:c r="I19" s="8" t="str">
        <x:v>GitHub verifies MoeGolibrary controls moego.pet; production supported contract/version and actual startup access still unverified; never use conflict override</x:v>
      </x:c>
      <x:c r="J19" s="8" t="str">
        <x:v>Primary documentation; source-level access mode varies, see Sources</x:v>
      </x:c>
      <x:c r="K19" s="8" t="str">
        <x:v>PET4–6</x:v>
      </x:c>
      <x:c r="L19" s="8" t="str">
        <x:v>Untested: no API credential, authorized tenant, API call or production booking</x:v>
      </x:c>
    </x:row>
    <x:row r="20" ht="51" customHeight="1">
      <x:c r="A20" s="13" t="str">
        <x:v>NexHealth</x:v>
      </x:c>
      <x:c r="B20" s="13" t="str">
        <x:v>Medical/dental appointments</x:v>
      </x:c>
      <x:c r="C20" s="13" t="str">
        <x:v>D/C universal integration incumbent</x:v>
      </x:c>
      <x:c r="D20" s="13" t="str">
        <x:v>Paid production account; practice EHR connection; sandbox is simulated</x:v>
      </x:c>
      <x:c r="E20" s="13" t="str">
        <x:v>D: provider/operatory working hours + slots</x:v>
      </x:c>
      <x:c r="F20" s="13" t="str">
        <x:v>D: asynchronous create; confirm/cancel; direct reschedule on four named dental systems</x:v>
      </x:c>
      <x:c r="G20" s="13" t="str">
        <x:v>Not every EHR supports same writes; overview contradicts current PATCH reference</x:v>
      </x:c>
      <x:c r="H20" s="13" t="str">
        <x:v>D: insertion complete/failed/timed_out webhook; do not confirm on acceptance alone</x:v>
      </x:c>
      <x:c r="I20" s="13" t="str">
        <x:v>Patient identity, EHR connector and health-data governance essential</x:v>
      </x:c>
      <x:c r="J20" s="13" t="str">
        <x:v>Primary documentation; source-level access mode varies, see Sources</x:v>
      </x:c>
      <x:c r="K20" s="13" t="str">
        <x:v>HEALTH1–4</x:v>
      </x:c>
      <x:c r="L20" s="13" t="str">
        <x:v>Untested: no API credential, authorized tenant, API call or production booking</x:v>
      </x:c>
    </x:row>
    <x:row r="21" ht="38" customHeight="1">
      <x:c r="A21" s="8" t="str">
        <x:v>Open Dental</x:v>
      </x:c>
      <x:c r="B21" s="8" t="str">
        <x:v>Dental appointments</x:v>
      </x:c>
      <x:c r="C21" s="8" t="str">
        <x:v>D/C</x:v>
      </x:c>
      <x:c r="D21" s="8" t="str">
        <x:v>Developer/customer keys + permissions; database version and eConnector; WebSched optional plan/setup</x:v>
      </x:c>
      <x:c r="E21" s="8" t="str">
        <x:v>D: Slots vs WebSched-specific slots differ</x:v>
      </x:c>
      <x:c r="F21" s="8" t="str">
        <x:v>D: create patient/operatory/time and update/confirm methods</x:v>
      </x:c>
      <x:c r="G21" s="8" t="str">
        <x:v>Operatories/provider patterns and version constraints; hold/idempotency U</x:v>
      </x:c>
      <x:c r="H21" s="8" t="str">
        <x:v>Retrieve/confirmation documented; exact webhook contract U in this pass</x:v>
      </x:c>
      <x:c r="I21" s="8" t="str">
        <x:v>Pacing per CustomerKey; local install connectivity and patient safety</x:v>
      </x:c>
      <x:c r="J21" s="8" t="str">
        <x:v>Primary documentation; source-level access mode varies, see Sources</x:v>
      </x:c>
      <x:c r="K21" s="8" t="str">
        <x:v>HEALTH5–6</x:v>
      </x:c>
      <x:c r="L21" s="8" t="str">
        <x:v>Untested: no API credential, authorized tenant, API call or production booking</x:v>
      </x:c>
    </x:row>
    <x:row r="22" ht="38" customHeight="1">
      <x:c r="A22" s="13" t="str">
        <x:v>DrChrono</x:v>
      </x:c>
      <x:c r="B22" s="13" t="str">
        <x:v>Medical appointments</x:v>
      </x:c>
      <x:c r="C22" s="13" t="str">
        <x:v>D/C</x:v>
      </x:c>
      <x:c r="D22" s="13" t="str">
        <x:v>Provider OAuth and scoped calendar/clinical/patient privileges</x:v>
      </x:c>
      <x:c r="E22" s="13" t="str">
        <x:v>U complete consumer eligibility+slots contract</x:v>
      </x:c>
      <x:c r="F22" s="13" t="str">
        <x:v>D: appointment create/read/modify/delete; conflicts documented</x:v>
      </x:c>
      <x:c r="G22" s="13" t="str">
        <x:v>EHR scope/access beyond time slot; pricing/holds/idempotency U</x:v>
      </x:c>
      <x:c r="H22" s="13" t="str">
        <x:v>Existing appointment read-back; lifecycle contract not fully audited</x:v>
      </x:c>
      <x:c r="I22" s="13" t="str">
        <x:v>No general access to medical providers from existence of API</x:v>
      </x:c>
      <x:c r="J22" s="13" t="str">
        <x:v>Primary documentation; source-level access mode varies, see Sources</x:v>
      </x:c>
      <x:c r="K22" s="13" t="str">
        <x:v>HEALTH7</x:v>
      </x:c>
      <x:c r="L22" s="13" t="str">
        <x:v>Untested: no API credential, authorized tenant, API call or production booking</x:v>
      </x:c>
    </x:row>
    <x:row r="23" ht="38" customHeight="1">
      <x:c r="A23" s="8" t="str">
        <x:v>Google Actions Center</x:v>
      </x:c>
      <x:c r="B23" s="8" t="str">
        <x:v>Distribution/reference architecture</x:v>
      </x:c>
      <x:c r="C23" s="8" t="str">
        <x:v>D/C supply-side partner rail</x:v>
      </x:c>
      <x:c r="D23" s="8" t="str">
        <x:v>Accepted partner; eligible merchants; booking server/feed implementation</x:v>
      </x:c>
      <x:c r="E23" s="8" t="str">
        <x:v>D: merchant/service/availability feeds + live checks</x:v>
      </x:c>
      <x:c r="F23" s="8" t="str">
        <x:v>D: Google invokes partner CreateBooking/UpdateBooking/status APIs</x:v>
      </x:c>
      <x:c r="G23" s="8" t="str">
        <x:v>Not arbitrary-consumer API; Google12–16week staffing guidance applies only to this integration</x:v>
      </x:c>
      <x:c r="H23" s="8" t="str">
        <x:v>Mandatory booking RTU; conditional availability RTU; idempotent state mutations</x:v>
      </x:c>
      <x:c r="I23" s="8" t="str">
        <x:v>Existing distribution competitor; useful behavioral contract</x:v>
      </x:c>
      <x:c r="J23" s="8" t="str">
        <x:v>Primary documentation; source-level access mode varies, see Sources</x:v>
      </x:c>
      <x:c r="K23" s="8" t="str">
        <x:v>GOOG1–4</x:v>
      </x:c>
      <x:c r="L23" s="8" t="str">
        <x:v>Untested: no API credential, authorized tenant, API call or production booking</x:v>
      </x:c>
    </x:row>
  </x:sheetData>
  <x:pageMargins left="0.7" right="0.7" top="0.75" bottom="0.75" header="0.3" footer="0.3"/>
  <x:tableParts count="1">
    <x:tablePart xmlns:r="http://schemas.openxmlformats.org/officeDocument/2006/relationships" r:id="R1a4cdebfa33b4230"/>
  </x:tableParts>
</x:worksheet>
</file>

<file path=xl/worksheets/sheet6.xml><?xml version="1.0" encoding="utf-8"?>
<x:worksheet xmlns:x="http://schemas.openxmlformats.org/spreadsheetml/2006/main">
  <x:sheetViews>
    <x:sheetView showGridLines="0" workbookViewId="0">
      <x:pane xSplit="4" ySplit="5" topLeftCell="E6" activePane="bottomRight" state="frozen"/>
    </x:sheetView>
  </x:sheetViews>
  <x:sheetFormatPr defaultRowHeight="15"/>
  <x:cols>
    <x:col min="1" max="1" width="18" hidden="0" customWidth="1"/>
    <x:col min="2" max="2" width="26" hidden="0" customWidth="1"/>
    <x:col min="3" max="3" width="24" hidden="0" customWidth="1"/>
    <x:col min="4" max="4" width="29" hidden="0" customWidth="1"/>
    <x:col min="5" max="5" width="27" hidden="0" customWidth="1"/>
    <x:col min="6" max="6" width="27" hidden="0" customWidth="1"/>
    <x:col min="7" max="7" width="18" hidden="0" customWidth="1"/>
    <x:col min="8" max="8" width="18" hidden="0" customWidth="1"/>
    <x:col min="9" max="9" width="65" hidden="0" customWidth="1"/>
    <x:col min="10" max="10" width="75" hidden="0" customWidth="1"/>
    <x:col min="11" max="11" width="68" hidden="0" customWidth="1"/>
    <x:col min="12" max="12" width="38" hidden="0" customWidth="1"/>
    <x:col min="13" max="13" width="74" hidden="0" customWidth="1"/>
    <x:col min="14" max="14" width="16" hidden="0" customWidth="1"/>
    <x:col min="15" max="15" width="31" hidden="0" customWidth="1"/>
    <x:col min="16" max="16" width="36" hidden="0" customWidth="1"/>
    <x:col min="17" max="17" width="66" hidden="0" customWidth="1"/>
    <x:col min="18" max="18" width="70" hidden="0" customWidth="1"/>
  </x:cols>
  <x:sheetData>
    <x:row r="1">
      <x:c r="A1" s="1"/>
      <x:c r="B1" s="1"/>
      <x:c r="C1" s="1"/>
      <x:c r="D1" s="1"/>
      <x:c r="E1" s="1"/>
      <x:c r="F1" s="1"/>
      <x:c r="G1" s="1"/>
      <x:c r="H1" s="1"/>
      <x:c r="I1" s="1"/>
      <x:c r="J1" s="1"/>
      <x:c r="K1" s="1"/>
      <x:c r="L1" s="1"/>
      <x:c r="M1" s="1"/>
      <x:c r="N1" s="1"/>
      <x:c r="O1" s="1"/>
      <x:c r="P1" s="1"/>
      <x:c r="Q1" s="1"/>
      <x:c r="R1" s="1"/>
    </x:row>
    <x:row r="2" ht="26" customHeight="1">
      <x:c r="A2" s="3" t="str">
        <x:v>Public booking-path observations</x:v>
      </x:c>
      <x:c r="B2" s="4"/>
      <x:c r="C2" s="4"/>
      <x:c r="D2" s="4"/>
      <x:c r="E2" s="4"/>
      <x:c r="F2" s="4"/>
      <x:c r="G2" s="4"/>
      <x:c r="H2" s="4"/>
      <x:c r="I2" s="4"/>
      <x:c r="J2" s="4"/>
      <x:c r="K2" s="4"/>
      <x:c r="L2" s="4"/>
      <x:c r="M2" s="4"/>
      <x:c r="N2" s="4"/>
      <x:c r="O2" s="4"/>
      <x:c r="P2" s="4"/>
      <x:c r="Q2" s="4"/>
      <x:c r="R2" s="4"/>
    </x:row>
    <x:row r="3">
      <x:c r="A3" s="6" t="str">
        <x:v>Core n = 15 across five purposive categories. Extra attempts are flagged. All stop before a booking commitment.</x:v>
      </x:c>
      <x:c r="B3" s="1"/>
      <x:c r="C3" s="1"/>
      <x:c r="D3" s="1"/>
      <x:c r="E3" s="1"/>
      <x:c r="F3" s="1"/>
      <x:c r="G3" s="1"/>
      <x:c r="H3" s="1"/>
      <x:c r="I3" s="1"/>
      <x:c r="J3" s="1"/>
      <x:c r="K3" s="1"/>
      <x:c r="L3" s="1"/>
      <x:c r="M3" s="1"/>
      <x:c r="N3" s="1"/>
      <x:c r="O3" s="1"/>
      <x:c r="P3" s="1"/>
      <x:c r="Q3" s="1"/>
      <x:c r="R3" s="1"/>
    </x:row>
    <x:row r="4">
      <x:c r="A4" s="1"/>
      <x:c r="B4" s="1"/>
      <x:c r="C4" s="1"/>
      <x:c r="D4" s="1"/>
      <x:c r="E4" s="1"/>
      <x:c r="F4" s="1"/>
      <x:c r="G4" s="1"/>
      <x:c r="H4" s="1"/>
      <x:c r="I4" s="1"/>
      <x:c r="J4" s="1"/>
      <x:c r="K4" s="1"/>
      <x:c r="L4" s="1"/>
      <x:c r="M4" s="1"/>
      <x:c r="N4" s="1"/>
      <x:c r="O4" s="1"/>
      <x:c r="P4" s="1"/>
      <x:c r="Q4" s="1"/>
      <x:c r="R4" s="1"/>
    </x:row>
    <x:row r="5" ht="42" customHeight="1">
      <x:c r="A5" s="12" t="str">
        <x:v>Attempt ID</x:v>
      </x:c>
      <x:c r="B5" s="12" t="str">
        <x:v>Sample role</x:v>
      </x:c>
      <x:c r="C5" s="12" t="str">
        <x:v>Category</x:v>
      </x:c>
      <x:c r="D5" s="12" t="str">
        <x:v>Provider</x:v>
      </x:c>
      <x:c r="E5" s="12" t="str">
        <x:v>Start UTC</x:v>
      </x:c>
      <x:c r="F5" s="12" t="str">
        <x:v>Stop UTC</x:v>
      </x:c>
      <x:c r="G5" s="12" t="str">
        <x:v>Calculated elapsed (seconds)</x:v>
      </x:c>
      <x:c r="H5" s="12" t="str">
        <x:v>Recorded elapsed (seconds)</x:v>
      </x:c>
      <x:c r="I5" s="12" t="str">
        <x:v>Observed stop state / gate</x:v>
      </x:c>
      <x:c r="J5" s="12" t="str">
        <x:v>Price evidence</x:v>
      </x:c>
      <x:c r="K5" s="12" t="str">
        <x:v>Availability evidence</x:v>
      </x:c>
      <x:c r="L5" s="12" t="str">
        <x:v>Channels used</x:v>
      </x:c>
      <x:c r="M5" s="12" t="str">
        <x:v>Provider / booking URLs</x:v>
      </x:c>
      <x:c r="N5" s="12" t="str">
        <x:v>Source access date</x:v>
      </x:c>
      <x:c r="O5" s="12" t="str">
        <x:v>Phone necessity</x:v>
      </x:c>
      <x:c r="P5" s="12" t="str">
        <x:v>Booking outcome</x:v>
      </x:c>
      <x:c r="Q5" s="12" t="str">
        <x:v>Timing caveat</x:v>
      </x:c>
      <x:c r="R5" s="12" t="str">
        <x:v>API hypothesis</x:v>
      </x:c>
    </x:row>
    <x:row r="6" ht="64" customHeight="1">
      <x:c r="A6" s="13" t="str">
        <x:v>C1</x:v>
      </x:c>
      <x:c r="B6" s="13" t="str">
        <x:v>Core sample</x:v>
      </x:c>
      <x:c r="C6" s="13" t="str">
        <x:v>Cleaning</x:v>
      </x:c>
      <x:c r="D6" s="13" t="str">
        <x:v>Maid Sailors</x:v>
      </x:c>
      <x:c r="E6" s="24" t="n">
        <x:v>46299.84865371528</x:v>
      </x:c>
      <x:c r="F6" s="24" t="n">
        <x:v>46299.84989114583</x:v>
      </x:c>
      <x:c r="G6" s="22" t="n">
        <x:f>ROUND((F6-E6)*86400,3)</x:f>
        <x:v>106.914</x:v>
      </x:c>
      <x:c r="H6" s="22" t="n">
        <x:v>106.914</x:v>
      </x:c>
      <x:c r="I6" s="13" t="str">
        <x:v>stopped-at-precommit-form; public price and date/time options observed; contact/address/payment not entered; booking outcome unknown</x:v>
      </x:c>
      <x:c r="J6" s="13" t="str">
        <x:v>1 Bedroom / One Time summary: subtotal $160.00, sales tax $14.21, TOTAL $174.21; estimated duration 2 Hours 0 Minutes. No address/ZIP was present during initial inspection, so initial total is unlocalized and conditional.</x:v>
      </x:c>
      <x:c r="K6" s="13" t="str">
        <x:v>Date field 10/06/2026 and summary auto-populated 1:00PM. In grouped selector, Tue October 6th offers 1:00PM through 7:00PM hourly; October 7-10 offer 8:00AM through 7:00PM hourly. These are displayed options, not confirmed reservations or holds.</x:v>
      </x:c>
      <x:c r="L6" s="13" t="str">
        <x:v>provider website
embedded Launch27 booking widget</x:v>
      </x:c>
      <x:c r="M6" s="13" t="str">
        <x:v>https://maidsailors.com/boston/
https://maidsailors.com/book-now/</x:v>
      </x:c>
      <x:c r="N6" s="16" t="n">
        <x:v>46299</x:v>
      </x:c>
      <x:c r="O6" s="13" t="str">
        <x:v>Unknown; phone not tested</x:v>
      </x:c>
      <x:c r="P6" s="13" t="str">
        <x:v>Unknown; no booking submitted</x:v>
      </x:c>
      <x:c r="Q6" s="13" t="str">
        <x:v>Initial locator filter failed
AX date index detached after asynchronous rerender
Time selector changed from placeholder to auto-selected 1:00PM before next click; no click of a specific time occurred</x:v>
      </x:c>
      <x:c r="R6" s="13" t="str">
        <x:v>Normalize scope, conditional price and time-option lookup, avoiding iframe and rerender traversal. Still requires localized coverage, user authorization, payment and confirmation reconciliation.</x:v>
      </x:c>
    </x:row>
    <x:row r="7" ht="64" customHeight="1">
      <x:c r="A7" s="8" t="str">
        <x:v>C2</x:v>
      </x:c>
      <x:c r="B7" s="8" t="str">
        <x:v>Core sample</x:v>
      </x:c>
      <x:c r="C7" s="8" t="str">
        <x:v>Cleaning</x:v>
      </x:c>
      <x:c r="D7" s="8" t="str">
        <x:v>MaidPro Boston - Downtown</x:v>
      </x:c>
      <x:c r="E7" s="25" t="n">
        <x:v>46299.85034494213</x:v>
      </x:c>
      <x:c r="F7" s="25" t="n">
        <x:v>46299.85068055556</x:v>
      </x:c>
      <x:c r="G7" s="23" t="n">
        <x:f>ROUND((F7-E7)*86400,3)</x:f>
        <x:v>28.997</x:v>
      </x:c>
      <x:c r="H7" s="23" t="n">
        <x:v>28.997</x:v>
      </x:c>
      <x:c r="I7" s="8" t="str">
        <x:v>stopped-at-contact/quote-submission-gate; no quote submitted, no quote pending, no booking confirmed</x:v>
      </x:c>
      <x:c r="J7" s="8" t="str">
        <x:v>No base cleaning price in observed funnel. Landing page advertised $25 refrigerator add-on for new customers and $75 recurring promotion, neither equals scenario price.</x:v>
      </x:c>
      <x:c r="K7" s="8" t="str">
        <x:v>No date/time inventory or date selector in observed quote form</x:v>
      </x:c>
      <x:c r="L7" s="8" t="str">
        <x:v>provider website
public estimate form</x:v>
      </x:c>
      <x:c r="M7" s="8" t="str">
        <x:v>https://maidpro.com/boston-maidpro
https://maidpro.com/boston-maidpro/estimate</x:v>
      </x:c>
      <x:c r="N7" s="17" t="n">
        <x:v>46299</x:v>
      </x:c>
      <x:c r="O7" s="8" t="str">
        <x:v>Unknown; phone not tested</x:v>
      </x:c>
      <x:c r="P7" s="8" t="str">
        <x:v>Unknown; no booking submitted</x:v>
      </x:c>
      <x:c r="Q7" s="8" t="str">
        <x:v>Initial AX state preceded form load; subsequent screenshot and DOM showed form</x:v>
      </x:c>
      <x:c r="R7" s="8" t="str">
        <x:v>Structure authorized quote intake. A form adapter alone cannot create a firm price or committed capacity when the provider still quotes manually.</x:v>
      </x:c>
    </x:row>
    <x:row r="8" ht="103" customHeight="1">
      <x:c r="A8" s="13" t="str">
        <x:v>C3</x:v>
      </x:c>
      <x:c r="B8" s="13" t="str">
        <x:v>Core sample</x:v>
      </x:c>
      <x:c r="C8" s="13" t="str">
        <x:v>Cleaning</x:v>
      </x:c>
      <x:c r="D8" s="13" t="str">
        <x:v>Unmess</x:v>
      </x:c>
      <x:c r="E8" s="24" t="n">
        <x:v>46299.8507512037</x:v>
      </x:c>
      <x:c r="F8" s="24" t="n">
        <x:v>46299.85309143519</x:v>
      </x:c>
      <x:c r="G8" s="22" t="n">
        <x:f>ROUND((F8-E8)*86400,3)</x:f>
        <x:v>202.196</x:v>
      </x:c>
      <x:c r="H8" s="22" t="n">
        <x:v>202.196</x:v>
      </x:c>
      <x:c r="I8" s="13" t="str">
        <x:v>stopped-at-unresolved-availability-interface; no selectable times observed; no booking, waiting-list entry or customer data submitted</x:v>
      </x:c>
      <x:c r="J8" s="13" t="str">
        <x:v>Landing page Studio/1BR one-time $150; initial booking default Studio displayed $135 with automatically applied NEWUNMESS coupon; after selecting 1 Bedroom/ZIP form showed $150 and coupon Apply button, so final observed $150 is precommit and coupon not applied to this changed scope. Card charged after appointment; free cancel/reschedule until 24h, then $50 fee.</x:v>
      </x:c>
      <x:c r="K8" s="13" t="str">
        <x:v>Calendar shows October2026 gray date numbers. October6 click and First Available produced no time inventory or selected date; no explicit unavailable/provider-out-of-area/error message. Cause unknown; cannot infer sold out or absent API.</x:v>
      </x:c>
      <x:c r="L8" s="13" t="str">
        <x:v>provider website
BookingKoala hosted booking form</x:v>
      </x:c>
      <x:c r="M8" s="13" t="str">
        <x:v>https://getunmess.com/
https://getunmess.bookingkoala.com/booknow/home_cleaning?service_id=6&amp;frequency_id=1&amp;coupon=NEWUNMESS&amp;pricing_parameter%5B1%5D=66&amp;utm_source=direct&amp;utm_medium=(none)</x:v>
      </x:c>
      <x:c r="N8" s="16" t="n">
        <x:v>46299</x:v>
      </x:c>
      <x:c r="O8" s="13" t="str">
        <x:v>Unknown; phone not tested</x:v>
      </x:c>
      <x:c r="P8" s="13" t="str">
        <x:v>Unknown; no booking submitted</x:v>
      </x:c>
      <x:c r="Q8" s="13" t="str">
        <x:v>Read-only screenshot returned JavaScript execution did not receive approval; one identical retry after supplied authorization evidence succeeded
Elapsed includes permission escalation/reporting wait, so do not attribute that portion to provider
Brief viewport rendering blank during scroll resolved in subsequent screenshot</x:v>
      </x:c>
      <x:c r="R8" s="13" t="str">
        <x:v>Return explicit coverage and availability status instead of an ambiguous calendar. Capacity and the cause of the empty time display remain unknown.</x:v>
      </x:c>
    </x:row>
    <x:row r="9" ht="64" customHeight="1">
      <x:c r="A9" s="8" t="str">
        <x:v>A1</x:v>
      </x:c>
      <x:c r="B9" s="8" t="str">
        <x:v>Core sample</x:v>
      </x:c>
      <x:c r="C9" s="8" t="str">
        <x:v>Auto service</x:v>
      </x:c>
      <x:c r="D9" s="8" t="str">
        <x:v>Firestone Complete Auto Care Boston</x:v>
      </x:c>
      <x:c r="E9" s="25" t="n">
        <x:v>46299.84882280092</x:v>
      </x:c>
      <x:c r="F9" s="25" t="n">
        <x:v>46299.8493278125</x:v>
      </x:c>
      <x:c r="G9" s="23" t="n">
        <x:f>ROUND((F9-E9)*86400,3)</x:f>
        <x:v>43.633</x:v>
      </x:c>
      <x:c r="H9" s="23" t="n">
        <x:v>43.633</x:v>
      </x:c>
      <x:c r="I9" s="8" t="str">
        <x:v>Inline dated service/time selector followed by Add a Vehicle and required contact form; Request an Appointment disabled</x:v>
      </x:c>
      <x:c r="J9" s="8" t="str">
        <x:v>No oil-change total. $15-off-any-oil-change coupon and up-to-$50 full-synthetic savings promotion only</x:v>
      </x:c>
      <x:c r="K9" s="8" t="str">
        <x:v>Oct 6 half-hour labels 8:00am through 6:30pm. First time automatically highlighted; no time was clicked</x:v>
      </x:c>
      <x:c r="L9" s="8" t="str">
        <x:v>public provider website
provider-branded web interface</x:v>
      </x:c>
      <x:c r="M9" s="8" t="str">
        <x:v>https://www.firestonecompleteautocare.com/massachusetts/boston/972-commonwealth-avenue/
https://www.firestonecompleteautocare.com/massachusetts/boston/972-commonwealth-avenue/</x:v>
      </x:c>
      <x:c r="N9" s="17" t="n">
        <x:v>46299</x:v>
      </x:c>
      <x:c r="O9" s="8" t="str">
        <x:v>Unknown; phone not tested</x:v>
      </x:c>
      <x:c r="P9" s="8" t="str">
        <x:v>Unknown; no booking submitted</x:v>
      </x:c>
      <x:c r="Q9" s="8" t="str">
        <x:v>Stop follows verified endpoint and displayed meaningful screenshot; saved screenshot file was captured after stop</x:v>
      </x:c>
      <x:c r="R9" s="8" t="str">
        <x:v>Normalize store, service and offered time choices plus vehicle requirements. Final vehicle-specific price, appointment acceptance and confirmation still need verification.</x:v>
      </x:c>
    </x:row>
    <x:row r="10" ht="64" customHeight="1">
      <x:c r="A10" s="13" t="str">
        <x:v>A2</x:v>
      </x:c>
      <x:c r="B10" s="13" t="str">
        <x:v>Core sample</x:v>
      </x:c>
      <x:c r="C10" s="13" t="str">
        <x:v>Auto service</x:v>
      </x:c>
      <x:c r="D10" s="13" t="str">
        <x:v>Jiffy Lube Dorchester</x:v>
      </x:c>
      <x:c r="E10" s="24" t="n">
        <x:v>46299.84945472222</x:v>
      </x:c>
      <x:c r="F10" s="24" t="n">
        <x:v>46299.84998439815</x:v>
      </x:c>
      <x:c r="G10" s="22" t="n">
        <x:f>ROUND((F10-E10)*86400,3)</x:f>
        <x:v>45.764</x:v>
      </x:c>
      <x:c r="H10" s="22" t="n">
        <x:v>45.764</x:v>
      </x:c>
      <x:c r="I10" s="13" t="str">
        <x:v>Dialog says vehicle-specific starting prices require setting this store as preferred and confirming vehicle information; Get Started not clicked</x:v>
      </x:c>
      <x:c r="J10" s="13" t="str">
        <x:v>$15-off oil-change coupon only; vehicle-specific starting price behind prerequisite</x:v>
      </x:c>
      <x:c r="K10" s="13" t="str">
        <x:v>None observed</x:v>
      </x:c>
      <x:c r="L10" s="13" t="str">
        <x:v>public provider website
provider-branded web interface</x:v>
      </x:c>
      <x:c r="M10" s="13" t="str">
        <x:v>https://www.jiffylube.com/locations/ma/dorchester/1632
https://www.jiffylube.com/locations/ma/dorchester/1632</x:v>
      </x:c>
      <x:c r="N10" s="16" t="n">
        <x:v>46299</x:v>
      </x:c>
      <x:c r="O10" s="13" t="str">
        <x:v>Unknown; phone not tested</x:v>
      </x:c>
      <x:c r="P10" s="13" t="str">
        <x:v>Unknown; no booking submitted</x:v>
      </x:c>
      <x:c r="Q10" s="13" t="str">
        <x:v>Includes research-browser/tool latency; not time-to-book</x:v>
      </x:c>
      <x:c r="R10" s="13" t="str">
        <x:v>Vehicle-specific pricing or queue/status access may be more relevant than an appointment rail for a walk-in provider. Booking need is not established by this path.</x:v>
      </x:c>
    </x:row>
    <x:row r="11" ht="64" customHeight="1">
      <x:c r="A11" s="8" t="str">
        <x:v>A3</x:v>
      </x:c>
      <x:c r="B11" s="8" t="str">
        <x:v>Core sample</x:v>
      </x:c>
      <x:c r="C11" s="8" t="str">
        <x:v>Auto service</x:v>
      </x:c>
      <x:c r="D11" s="8" t="str">
        <x:v>Parkway Toyota of Boston</x:v>
      </x:c>
      <x:c r="E11" s="25" t="n">
        <x:v>46299.84998445602</x:v>
      </x:c>
      <x:c r="F11" s="25" t="n">
        <x:v>46299.850362523146</x:v>
      </x:c>
      <x:c r="G11" s="23" t="n">
        <x:f>ROUND((F11-E11)*86400,3)</x:f>
        <x:v>32.665</x:v>
      </x:c>
      <x:c r="H11" s="23" t="n">
        <x:v>32.665</x:v>
      </x:c>
      <x:c r="I11" s="8" t="str">
        <x:v>Make/year/model and estimated mileage required before Continue to select appointment service; continue disabled</x:v>
      </x:c>
      <x:c r="J11" s="8" t="str">
        <x:v>Not observed</x:v>
      </x:c>
      <x:c r="K11" s="8" t="str">
        <x:v>None observed</x:v>
      </x:c>
      <x:c r="L11" s="8" t="str">
        <x:v>public provider website
Xtime public web interface</x:v>
      </x:c>
      <x:c r="M11" s="8" t="str">
        <x:v>https://www.parkwaytoyotaboston.com/service/schedule-service/
https://www.parkwaytoyotaboston.com/service/schedule-service/</x:v>
      </x:c>
      <x:c r="N11" s="17" t="n">
        <x:v>46299</x:v>
      </x:c>
      <x:c r="O11" s="8" t="str">
        <x:v>Unknown; phone not tested</x:v>
      </x:c>
      <x:c r="P11" s="8" t="str">
        <x:v>Unknown; no booking submitted</x:v>
      </x:c>
      <x:c r="Q11" s="8" t="str">
        <x:v>Includes research-browser/tool latency; not time-to-book</x:v>
      </x:c>
      <x:c r="R11" s="8" t="str">
        <x:v>Reuse an authorized structured vehicle profile to reach service and appointment options. No evidence yet of price, capacity or accessible booking-write API.</x:v>
      </x:c>
    </x:row>
    <x:row r="12" ht="64" customHeight="1">
      <x:c r="A12" s="13" t="str">
        <x:v>beauty_01</x:v>
      </x:c>
      <x:c r="B12" s="13" t="str">
        <x:v>Core sample</x:v>
      </x:c>
      <x:c r="C12" s="13" t="str">
        <x:v>Beauty and barber</x:v>
      </x:c>
      <x:c r="D12" s="13" t="str">
        <x:v>LoGrasso's Barbershop</x:v>
      </x:c>
      <x:c r="E12" s="24" t="n">
        <x:v>46299.8485740625</x:v>
      </x:c>
      <x:c r="F12" s="24" t="n">
        <x:v>46299.849369375</x:v>
      </x:c>
      <x:c r="G12" s="22" t="n">
        <x:f>ROUND((F12-E12)*86400,3)</x:f>
        <x:v>68.715</x:v>
      </x:c>
      <x:c r="H12" s="22" t="n">
        <x:v>68.715</x:v>
      </x:c>
      <x:c r="I12" s="13" t="str">
        <x:v>Stopped at public date/time inventory before Continue</x:v>
      </x:c>
      <x:c r="J12" s="13" t="str">
        <x:v>USD 35: Visible service menu and booking widget; not final transaction total</x:v>
      </x:c>
      <x:c r="K12" s="13" t="str">
        <x:v>08:30, 08:45, 09:00 ... 17:00; no slots 13:15/13:30/13:45 in observed list</x:v>
      </x:c>
      <x:c r="L12" s="13" t="str">
        <x:v>public provider website
Booksy public web interface</x:v>
      </x:c>
      <x:c r="M12" s="13" t="str">
        <x:v>https://lograssobarbershop.com/
https://booksy.com/en-us/705791_lograssos-barbershop_barber-shop_22412_boston</x:v>
      </x:c>
      <x:c r="N12" s="16" t="n">
        <x:v>46299</x:v>
      </x:c>
      <x:c r="O12" s="13" t="str">
        <x:v>Unknown; phone not tested</x:v>
      </x:c>
      <x:c r="P12" s="13" t="str">
        <x:v>Unknown; no booking submitted</x:v>
      </x:c>
      <x:c r="Q12" s="13" t="str">
        <x:v>Includes tool delays, loading, new-tab discovery and observer decision time. Excludes pre-entry search and post-stop screenshot save.</x:v>
      </x:c>
      <x:c r="R12" s="13" t="str">
        <x:v>Normalize provider, service, staff, price and time lookup. Consumer authentication, hold semantics, payment and final confirmation still require verification.</x:v>
      </x:c>
    </x:row>
    <x:row r="13" ht="64" customHeight="1">
      <x:c r="A13" s="8" t="str">
        <x:v>beauty_02</x:v>
      </x:c>
      <x:c r="B13" s="8" t="str">
        <x:v>Core sample</x:v>
      </x:c>
      <x:c r="C13" s="8" t="str">
        <x:v>Beauty and barber</x:v>
      </x:c>
      <x:c r="D13" s="8" t="str">
        <x:v>Mr Suazo's Barbershop - Malden</x:v>
      </x:c>
      <x:c r="E13" s="25" t="n">
        <x:v>46299.84952363426</x:v>
      </x:c>
      <x:c r="F13" s="25" t="n">
        <x:v>46299.85061837963</x:v>
      </x:c>
      <x:c r="G13" s="23" t="n">
        <x:f>ROUND((F13-E13)*86400,3)</x:f>
        <x:v>94.586</x:v>
      </x:c>
      <x:c r="H13" s="23" t="n">
        <x:v>94.586</x:v>
      </x:c>
      <x:c r="I13" s="8" t="str">
        <x:v>Stopped at public date/time inventory without clicking a slot</x:v>
      </x:c>
      <x:c r="J13" s="8" t="str">
        <x:v>USD 40: Visible menu and subtotal; not final transaction total</x:v>
      </x:c>
      <x:c r="K13" s="8" t="str">
        <x:v>09:00, 09:30, 10:00, 10:30, 11:00 then every 15 minutes through 19:30</x:v>
      </x:c>
      <x:c r="L13" s="8" t="str">
        <x:v>public provider website
SQUIRE public web interface</x:v>
      </x:c>
      <x:c r="M13" s="8" t="str">
        <x:v>https://mrsuazosbarbershop.com/
https://getsquire.com/booking/brands/mr-suazos-barbershop</x:v>
      </x:c>
      <x:c r="N13" s="17" t="n">
        <x:v>46299</x:v>
      </x:c>
      <x:c r="O13" s="8" t="str">
        <x:v>Unknown; phone not tested</x:v>
      </x:c>
      <x:c r="P13" s="8" t="str">
        <x:v>Unknown; no booking submitted</x:v>
      </x:c>
      <x:c r="Q13" s="8" t="str">
        <x:v>Includes one failed exact-text locator, corrected from fresh DOM; browser/tool delays and observer decision time. Excludes pre-entry discovery and post-stop screenshots.</x:v>
      </x:c>
      <x:c r="R13" s="8" t="str">
        <x:v>Remove brand/location/service/order-panel traversal and avoid inconsistent accessibility labels. Preserve staff-specific availability, authorization and confirmation checks.</x:v>
      </x:c>
    </x:row>
    <x:row r="14" ht="64" customHeight="1">
      <x:c r="A14" s="13" t="str">
        <x:v>beauty_03</x:v>
      </x:c>
      <x:c r="B14" s="13" t="str">
        <x:v>Core sample</x:v>
      </x:c>
      <x:c r="C14" s="13" t="str">
        <x:v>Beauty and barber</x:v>
      </x:c>
      <x:c r="D14" s="13" t="str">
        <x:v>Barbershop Deluxe</x:v>
      </x:c>
      <x:c r="E14" s="24" t="n">
        <x:v>46299.85093997685</x:v>
      </x:c>
      <x:c r="F14" s="24" t="n">
        <x:v>46299.851447280096</x:v>
      </x:c>
      <x:c r="G14" s="22" t="n">
        <x:f>ROUND((F14-E14)*86400,3)</x:f>
        <x:v>43.831</x:v>
      </x:c>
      <x:c r="H14" s="22" t="n">
        <x:v>43.831</x:v>
      </x:c>
      <x:c r="I14" s="13" t="str">
        <x:v>Stopped at date/time inventory without clicking 3:15 PM or joining waitlist</x:v>
      </x:c>
      <x:c r="J14" s="13" t="str">
        <x:v>USD 50: Visible service price; not final transaction total</x:v>
      </x:c>
      <x:c r="K14" s="13" t="str">
        <x:v>15:15 only; morning and evening show No availability</x:v>
      </x:c>
      <x:c r="L14" s="13" t="str">
        <x:v>public provider website
Square Appointments public web interface</x:v>
      </x:c>
      <x:c r="M14" s="13" t="str">
        <x:v>https://square.site/book/CNPZ1GBSHRYTH/barbershop-deluxe-boston-ma
https://book.squareup.com/appointments/i7lh3lz7nwocq7/location/CNPZ1GBSHRYTH/availability</x:v>
      </x:c>
      <x:c r="N14" s="16" t="n">
        <x:v>46299</x:v>
      </x:c>
      <x:c r="O14" s="13" t="str">
        <x:v>Unknown; phone not tested</x:v>
      </x:c>
      <x:c r="P14" s="13" t="str">
        <x:v>Unknown; no booking submitted</x:v>
      </x:c>
      <x:c r="Q14" s="13" t="str">
        <x:v>Includes browser/tool delays and observer decision time. Excludes pre-entry discovery and post-stop screenshot save.</x:v>
      </x:c>
      <x:c r="R14" s="13" t="str">
        <x:v>Normalize service and staff lookup with explicitly zoned time options. Do not treat a public Book button as proof of an authorized write API or reservation.</x:v>
      </x:c>
    </x:row>
    <x:row r="15" ht="64" customHeight="1">
      <x:c r="A15" s="8" t="str">
        <x:v>extra_MBL_removed</x:v>
      </x:c>
      <x:c r="B15" s="8" t="str">
        <x:v>Extra; excluded from core denominator</x:v>
      </x:c>
      <x:c r="C15" s="8" t="str">
        <x:v>Beauty and barber</x:v>
      </x:c>
      <x:c r="D15" s="8" t="str">
        <x:v>MBL Broad Street / Yordy SQUIRE discovery listing</x:v>
      </x:c>
      <x:c r="E15" s="25" t="n">
        <x:v>46299.85062517361</x:v>
      </x:c>
      <x:c r="F15" s="25" t="n">
        <x:v>46299.850775300925</x:v>
      </x:c>
      <x:c r="G15" s="23" t="n">
        <x:f>ROUND((F15-E15)*86400,3)</x:f>
        <x:v>12.971</x:v>
      </x:c>
      <x:c r="H15" s="23" t="n">
        <x:v>12.971</x:v>
      </x:c>
      <x:c r="I15" s="8" t="str">
        <x:v>Gone. There's nothing here. This page has been permanently removed.</x:v>
      </x:c>
      <x:c r="J15" s="8" t="str">
        <x:v>Unavailable</x:v>
      </x:c>
      <x:c r="K15" s="8" t="str">
        <x:v>Unavailable</x:v>
      </x:c>
      <x:c r="L15" s="8" t="str">
        <x:v>Public web / booking widget</x:v>
      </x:c>
      <x:c r="M15" s="8" t="str">
        <x:v>https://getsquire.com/discover/barbershop/mbl-broad-street-boston/barber/yordy-5</x:v>
      </x:c>
      <x:c r="N15" s="17" t="n">
        <x:v>46299</x:v>
      </x:c>
      <x:c r="O15" s="8" t="str">
        <x:v>Unknown; phone not tested</x:v>
      </x:c>
      <x:c r="P15" s="8" t="str">
        <x:v>Unknown; no booking submitted</x:v>
      </x:c>
      <x:c r="Q15" s="8" t="str">
        <x:v>Includes research-browser/tool latency; not time-to-book</x:v>
      </x:c>
      <x:c r="R15" s="8" t="str">
        <x:v>Structured API counterfactual remains untested</x:v>
      </x:c>
    </x:row>
    <x:row r="16" ht="77" customHeight="1">
      <x:c r="A16" s="13" t="str">
        <x:v>pet_01</x:v>
      </x:c>
      <x:c r="B16" s="13" t="str">
        <x:v>Core sample</x:v>
      </x:c>
      <x:c r="C16" s="13" t="str">
        <x:v>Pet grooming</x:v>
      </x:c>
      <x:c r="D16" s="13" t="str">
        <x:v>Petco Brighton</x:v>
      </x:c>
      <x:c r="E16" s="24" t="n">
        <x:v>46299.851451215276</x:v>
      </x:c>
      <x:c r="F16" s="24" t="n">
        <x:v>46299.85362392361</x:v>
      </x:c>
      <x:c r="G16" s="22" t="n">
        <x:f>ROUND((F16-E16)*86400,3)</x:f>
        <x:v>187.722</x:v>
      </x:c>
      <x:c r="H16" s="22" t="n">
        <x:v>187.722</x:v>
      </x:c>
      <x:c r="I16" s="13" t="str">
        <x:v>DataDome Verification Required interactive slider puzzle</x:v>
      </x:c>
      <x:c r="J16" s="13" t="str">
        <x:v>USD 38: Starts at price on Brighton public page; no pet-specific quote</x:v>
      </x:c>
      <x:c r="K16" s="13" t="str">
        <x:v>Not observed</x:v>
      </x:c>
      <x:c r="L16" s="13" t="str">
        <x:v>public provider website
provider-branded web interface</x:v>
      </x:c>
      <x:c r="M16" s="13" t="str">
        <x:v>https://stores.petco.com/ma/brighton/full-service-grooming-brighton-ma-288.html
https://www.petco.com/shop/PetcoServicesBookGrooming?catalogId=10051&amp;storeId=10151&amp;langId=-1&amp;store_number=288</x:v>
      </x:c>
      <x:c r="N16" s="16" t="n">
        <x:v>46299</x:v>
      </x:c>
      <x:c r="O16" s="13" t="str">
        <x:v>Unknown; phone not tested</x:v>
      </x:c>
      <x:c r="P16" s="13" t="str">
        <x:v>Unknown; no booking submitted</x:v>
      </x:c>
      <x:c r="Q16" s="13" t="str">
        <x:v>NOT directly comparable. Includes initial approval/security-check interruption, permission-context recovery and entire independent PetSmart observation (67.594s). Initial Book Now failure returned at 20:26:29 UTC, second precision. No precise first-block stop timer was logged.</x:v>
      </x:c>
      <x:c r="R16" s="13" t="str">
        <x:v>An authorized API might provide a supported alternative to browser verification. This test does not establish API availability or the right to bypass bot controls.</x:v>
      </x:c>
    </x:row>
    <x:row r="17" ht="64" customHeight="1">
      <x:c r="A17" s="8" t="str">
        <x:v>pet_02</x:v>
      </x:c>
      <x:c r="B17" s="8" t="str">
        <x:v>Core sample</x:v>
      </x:c>
      <x:c r="C17" s="8" t="str">
        <x:v>Pet grooming</x:v>
      </x:c>
      <x:c r="D17" s="8" t="str">
        <x:v>PetSmart Cambridge</x:v>
      </x:c>
      <x:c r="E17" s="25" t="n">
        <x:v>46299.85247049769</x:v>
      </x:c>
      <x:c r="F17" s="25" t="n">
        <x:v>46299.853252835645</x:v>
      </x:c>
      <x:c r="G17" s="23" t="n">
        <x:f>ROUND((F17-E17)*86400,3)</x:f>
        <x:v>67.594</x:v>
      </x:c>
      <x:c r="H17" s="23" t="n">
        <x:v>67.594</x:v>
      </x:c>
      <x:c r="I17" s="8" t="str">
        <x:v>Login modal with returning customer and new-account routes</x:v>
      </x:c>
      <x:c r="J17" s="8" t="str"/>
      <x:c r="K17" s="8" t="str">
        <x:v>Not observed</x:v>
      </x:c>
      <x:c r="L17" s="8" t="str">
        <x:v>public provider website
provider-branded web interface</x:v>
      </x:c>
      <x:c r="M17" s="8" t="str">
        <x:v>https://stores.petsmart.com/ma/cambridge/cambridge/grooming
https://services.petsmart.com/grooming/booking</x:v>
      </x:c>
      <x:c r="N17" s="17" t="n">
        <x:v>46299</x:v>
      </x:c>
      <x:c r="O17" s="8" t="str">
        <x:v>Unknown; phone not tested</x:v>
      </x:c>
      <x:c r="P17" s="8" t="str">
        <x:v>Unknown; no booking submitted</x:v>
      </x:c>
      <x:c r="Q17" s="8" t="str">
        <x:v>Includes browser/tool delays, new-tab lookup and observer decision time. Excludes pre-entry discovery and post-stop screenshot save. Runs during Petco recovery pause.</x:v>
      </x:c>
      <x:c r="R17" s="8" t="str">
        <x:v>A delegated account connection could reuse a pet profile and expose authorized prices and slots. Authentication and required pet details remain real prerequisites.</x:v>
      </x:c>
    </x:row>
    <x:row r="18" ht="64" customHeight="1">
      <x:c r="A18" s="13" t="str">
        <x:v>pet_03</x:v>
      </x:c>
      <x:c r="B18" s="13" t="str">
        <x:v>Core sample</x:v>
      </x:c>
      <x:c r="C18" s="13" t="str">
        <x:v>Pet grooming</x:v>
      </x:c>
      <x:c r="D18" s="13" t="str">
        <x:v>Onyva Boston</x:v>
      </x:c>
      <x:c r="E18" s="24" t="n">
        <x:v>46299.853779467594</x:v>
      </x:c>
      <x:c r="F18" s="24" t="n">
        <x:v>46299.85422689815</x:v>
      </x:c>
      <x:c r="G18" s="22" t="n">
        <x:f>ROUND((F18-E18)*86400,3)</x:f>
        <x:v>38.658</x:v>
      </x:c>
      <x:c r="H18" s="22" t="n">
        <x:v>38.658</x:v>
      </x:c>
      <x:c r="I18" s="13" t="str">
        <x:v>Welcome Back login; new customers Register Here</x:v>
      </x:c>
      <x:c r="J18" s="13" t="str"/>
      <x:c r="K18" s="13" t="str">
        <x:v>Not observed</x:v>
      </x:c>
      <x:c r="L18" s="13" t="str">
        <x:v>public provider website
provider-branded web interface</x:v>
      </x:c>
      <x:c r="M18" s="13" t="str">
        <x:v>https://boston.onyvadogspa.com/
https://boston.onyvadogspa.com/</x:v>
      </x:c>
      <x:c r="N18" s="16" t="n">
        <x:v>46299</x:v>
      </x:c>
      <x:c r="O18" s="13" t="str">
        <x:v>Unknown; phone not tested</x:v>
      </x:c>
      <x:c r="P18" s="13" t="str">
        <x:v>Unknown; no booking submitted</x:v>
      </x:c>
      <x:c r="Q18" s="13" t="str">
        <x:v>Includes browser/tool delays, new-tab lookup and observer decision time. Excludes pre-entry search and post-stop screenshot save.</x:v>
      </x:c>
      <x:c r="R18" s="13" t="str">
        <x:v>A delegated account connection might support existing-customer rebooking. New customer registration and provider profile requirements remain untested.</x:v>
      </x:c>
    </x:row>
    <x:row r="19" ht="77" customHeight="1">
      <x:c r="A19" s="8" t="str">
        <x:v>F1</x:v>
      </x:c>
      <x:c r="B19" s="8" t="str">
        <x:v>Core sample</x:v>
      </x:c>
      <x:c r="C19" s="8" t="str">
        <x:v>Fitness classes</x:v>
      </x:c>
      <x:c r="D19" s="8" t="str">
        <x:v>YMCA Huntington Avenue</x:v>
      </x:c>
      <x:c r="E19" s="25" t="n">
        <x:v>46299.85056399306</x:v>
      </x:c>
      <x:c r="F19" s="25" t="n">
        <x:v>46299.851462824074</x:v>
      </x:c>
      <x:c r="G19" s="23" t="n">
        <x:f>ROUND((F19-E19)*86400,3)</x:f>
        <x:v>77.659</x:v>
      </x:c>
      <x:c r="H19" s="23" t="n">
        <x:v>77.659</x:v>
      </x:c>
      <x:c r="I19" s="8" t="str">
        <x:v>Public Huntington class calendar. Reservation requires login. Page says registration opens 72 hours before class; nonmembers directed to day-pass request form</x:v>
      </x:c>
      <x:c r="J19" s="8" t="str">
        <x:v>No single-class amount displayed on inspected path</x:v>
      </x:c>
      <x:c r="K19" s="8" t="str">
        <x:v>Oct 6: Gentle Flow Yoga 8:30–9:25am; Tai Chi 9–9:45am; Circuit Bootcamp 10–10:55am; Strength Training 5–6pm; Cycle 6–7pm; Vinyasa Flow 6–6:55pm; Zumba 6–6:55pm; BodyPump 7–8pm. Oct7 noon Core Express marked cancelled. Full Oct6–10 timetable in saved DOM</x:v>
      </x:c>
      <x:c r="L19" s="8" t="str">
        <x:v>public provider website
upace public web interface</x:v>
      </x:c>
      <x:c r="M19" s="8" t="str">
        <x:v>https://ymcaboston.org/huntington/
https://ymcaboston.org/healthy-living/fitness-classes/#schedules</x:v>
      </x:c>
      <x:c r="N19" s="17" t="n">
        <x:v>46299</x:v>
      </x:c>
      <x:c r="O19" s="8" t="str">
        <x:v>Unknown; phone not tested</x:v>
      </x:c>
      <x:c r="P19" s="8" t="str">
        <x:v>Unknown; no booking submitted</x:v>
      </x:c>
      <x:c r="Q19" s="8" t="str">
        <x:v>Includes research-browser/tool latency; not time-to-book</x:v>
      </x:c>
      <x:c r="R19" s="8" t="str">
        <x:v>Normalize local class schedule, capacity and the 72-hour reservation window. Requires authorized member identity or a valid day pass; timetable is not capacity.</x:v>
      </x:c>
    </x:row>
    <x:row r="20" ht="64" customHeight="1">
      <x:c r="A20" s="13" t="str">
        <x:v>F2</x:v>
      </x:c>
      <x:c r="B20" s="13" t="str">
        <x:v>Core sample</x:v>
      </x:c>
      <x:c r="C20" s="13" t="str">
        <x:v>Fitness classes</x:v>
      </x:c>
      <x:c r="D20" s="13" t="str">
        <x:v>Orangetheory Boston Back Bay</x:v>
      </x:c>
      <x:c r="E20" s="24" t="n">
        <x:v>46299.85153608796</x:v>
      </x:c>
      <x:c r="F20" s="24" t="n">
        <x:v>46299.853088634256</x:v>
      </x:c>
      <x:c r="G20" s="22" t="n">
        <x:f>ROUND((F20-E20)*86400,3)</x:f>
        <x:v>134.14</x:v>
      </x:c>
      <x:c r="H20" s="22" t="n">
        <x:v>134.14</x:v>
      </x:c>
      <x:c r="I20" s="13" t="str">
        <x:v>First/last name, email, phone and ZIP fields before schedule; local-resident/18+/terms checkbox prechecked by site; separate marketing SMS checkbox unchecked; no fields or checkboxes altered; Next not clicked</x:v>
      </x:c>
      <x:c r="J20" s="13" t="str">
        <x:v>Footer says recommended casual-visit retail price $35 but explicitly varies by studio, so no verified Back Bay drop-in quote. Basic $119/month for 4 classes; Elite $169/month for 8; Premier plans. $39 eight-day promotion applies October 24–31 outside test window</x:v>
      </x:c>
      <x:c r="K20" s="13" t="str">
        <x:v>None observed</x:v>
      </x:c>
      <x:c r="L20" s="13" t="str">
        <x:v>public provider website
provider-branded web interface</x:v>
      </x:c>
      <x:c r="M20" s="13" t="str">
        <x:v>https://www.orangetheory.com/en-us/locations/boston-massachusetts-0285?2d235898_page=1
https://www.orangetheory.com/en-us/book-a-class-1?location_id=d5aec246-accd-4726-bdcb-afd2d2c5bc96&amp;2d235898_page=1&amp;step=1</x:v>
      </x:c>
      <x:c r="N20" s="16" t="n">
        <x:v>46299</x:v>
      </x:c>
      <x:c r="O20" s="13" t="str">
        <x:v>Unknown; phone not tested</x:v>
      </x:c>
      <x:c r="P20" s="13" t="str">
        <x:v>Unknown; no booking submitted</x:v>
      </x:c>
      <x:c r="Q20" s="13" t="str">
        <x:v>Includes two tool-approval denials and coordination wait; materially confounded and unsuitable as consumer-time estimate. Intermediate clock observation at 20:27:11Z was superseded by final stop after recovery</x:v>
      </x:c>
      <x:c r="R20" s="13" t="str">
        <x:v>Support authorized existing-member discovery and booking if available. A first-visit lead form has eligibility and identity requirements that API traversal alone cannot remove.</x:v>
      </x:c>
    </x:row>
    <x:row r="21" ht="77" customHeight="1">
      <x:c r="A21" s="8" t="str">
        <x:v>F3</x:v>
      </x:c>
      <x:c r="B21" s="8" t="str">
        <x:v>Core sample</x:v>
      </x:c>
      <x:c r="C21" s="8" t="str">
        <x:v>Fitness classes</x:v>
      </x:c>
      <x:c r="D21" s="8" t="str">
        <x:v>Boston Yoga Union Back Bay</x:v>
      </x:c>
      <x:c r="E21" s="25" t="n">
        <x:v>46299.85308876157</x:v>
      </x:c>
      <x:c r="F21" s="25" t="n">
        <x:v>46299.85382053241</x:v>
      </x:c>
      <x:c r="G21" s="23" t="n">
        <x:f>ROUND((F21-E21)*86400,3)</x:f>
        <x:v>63.225</x:v>
      </x:c>
      <x:c r="H21" s="23" t="n">
        <x:v>63.225</x:v>
      </x:c>
      <x:c r="I21" s="8" t="str">
        <x:v>Public dated timetable and class-specific Book now links/buttons; no class-specific control clicked because effect on inventory/hold was not established</x:v>
      </x:c>
      <x:c r="J21" s="8" t="str">
        <x:v>$49 introductory three-week unlimited offer; no single-class price on inspected schedule</x:v>
      </x:c>
      <x:c r="K21" s="8" t="str">
        <x:v>October 6 New York time: Vinyasa Flow 7:00am, 60 minutes; Vinyasa Flow 9:30am, 75 minutes; Gentle Yoga 11:15am, 60 minutes; Align &amp; Flow 4:00pm, 75 minutes; Align 5:45pm, 75 minutes; Vinyasa Flow 6:00pm, 75 minutes; Vinyasa Flow 7:30pm, 60 minutes. Union Sculpt 7:15pm, 45 minutes, cancelled/disabled</x:v>
      </x:c>
      <x:c r="L21" s="8" t="str">
        <x:v>public provider website
Momence public web interface</x:v>
      </x:c>
      <x:c r="M21" s="8" t="str">
        <x:v>https://bostonyogaunion.com/back-bay-yoga
https://bostonyogaunion.com/back-bay-yoga</x:v>
      </x:c>
      <x:c r="N21" s="17" t="n">
        <x:v>46299</x:v>
      </x:c>
      <x:c r="O21" s="8" t="str">
        <x:v>Unknown; phone not tested</x:v>
      </x:c>
      <x:c r="P21" s="8" t="str">
        <x:v>Unknown; no booking submitted</x:v>
      </x:c>
      <x:c r="Q21" s="8" t="str">
        <x:v>Includes research-browser/tool latency; not time-to-book</x:v>
      </x:c>
      <x:c r="R21" s="8" t="str">
        <x:v>Normalize venue, timezone, class and cancellation status. Explicit timezone and real capacity are essential; booking, waiver and payment requirements remain untested.</x:v>
      </x:c>
    </x:row>
  </x:sheetData>
  <x:pageMargins left="0.7" right="0.7" top="0.75" bottom="0.75" header="0.3" footer="0.3"/>
  <x:tableParts count="1">
    <x:tablePart xmlns:r="http://schemas.openxmlformats.org/officeDocument/2006/relationships" r:id="R97a46a68799c4fef"/>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8" hidden="0" customWidth="1"/>
    <x:col min="2" max="2" width="30" hidden="0" customWidth="1"/>
    <x:col min="3" max="3" width="36" hidden="0" customWidth="1"/>
    <x:col min="4" max="4" width="119" hidden="0" customWidth="1"/>
  </x:cols>
  <x:sheetData>
    <x:row r="1">
      <x:c r="A1" s="1"/>
      <x:c r="B1" s="1"/>
      <x:c r="C1" s="1"/>
      <x:c r="D1" s="1"/>
    </x:row>
    <x:row r="2" ht="26" customHeight="1">
      <x:c r="A2" s="3" t="str">
        <x:v>Per-attempt protocol and detailed evidence</x:v>
      </x:c>
      <x:c r="B2" s="4"/>
      <x:c r="C2" s="4"/>
      <x:c r="D2" s="4"/>
    </x:row>
    <x:row r="3">
      <x:c r="A3" s="6" t="str">
        <x:v>Exact source timestamps, scenario changes, gates and caveats remain traceable by attempt ID.</x:v>
      </x:c>
      <x:c r="B3" s="1"/>
      <x:c r="C3" s="1"/>
      <x:c r="D3" s="1"/>
    </x:row>
    <x:row r="4">
      <x:c r="A4" s="1"/>
      <x:c r="B4" s="1"/>
      <x:c r="C4" s="1"/>
      <x:c r="D4" s="1"/>
    </x:row>
    <x:row r="5" ht="42" customHeight="1">
      <x:c r="A5" s="12" t="str">
        <x:v>Attempt ID</x:v>
      </x:c>
      <x:c r="B5" s="12" t="str">
        <x:v>Provider / scope</x:v>
      </x:c>
      <x:c r="C5" s="12" t="str">
        <x:v>Evidence field</x:v>
      </x:c>
      <x:c r="D5" s="12" t="str">
        <x:v>Recorded evidence</x:v>
      </x:c>
    </x:row>
    <x:row r="6" ht="34" customHeight="1">
      <x:c r="A6" s="13" t="str">
        <x:v>C1</x:v>
      </x:c>
      <x:c r="B6" s="13" t="str">
        <x:v>Maid Sailors</x:v>
      </x:c>
      <x:c r="C6" s="13" t="str">
        <x:v>metro</x:v>
      </x:c>
      <x:c r="D6" s="13" t="str">
        <x:v>Boston</x:v>
      </x:c>
    </x:row>
    <x:row r="7" ht="34" customHeight="1">
      <x:c r="A7" s="8" t="str">
        <x:v>C1</x:v>
      </x:c>
      <x:c r="B7" s="8" t="str">
        <x:v>Maid Sailors</x:v>
      </x:c>
      <x:c r="C7" s="8" t="str">
        <x:v>provider url</x:v>
      </x:c>
      <x:c r="D7" s="8" t="str">
        <x:v>https://maidsailors.com/boston/</x:v>
      </x:c>
    </x:row>
    <x:row r="8" ht="34" customHeight="1">
      <x:c r="A8" s="13" t="str">
        <x:v>C1</x:v>
      </x:c>
      <x:c r="B8" s="13" t="str">
        <x:v>Maid Sailors</x:v>
      </x:c>
      <x:c r="C8" s="13" t="str">
        <x:v>booking url</x:v>
      </x:c>
      <x:c r="D8" s="13" t="str">
        <x:v>https://maidsailors.com/book-now/</x:v>
      </x:c>
    </x:row>
    <x:row r="9" ht="34" customHeight="1">
      <x:c r="A9" s="8" t="str">
        <x:v>C1</x:v>
      </x:c>
      <x:c r="B9" s="8" t="str">
        <x:v>Maid Sailors</x:v>
      </x:c>
      <x:c r="C9" s="8" t="str">
        <x:v>observed date</x:v>
      </x:c>
      <x:c r="D9" s="8" t="str">
        <x:v>2026-10-04</x:v>
      </x:c>
    </x:row>
    <x:row r="10" ht="34" customHeight="1">
      <x:c r="A10" s="13" t="str">
        <x:v>C1</x:v>
      </x:c>
      <x:c r="B10" s="13" t="str">
        <x:v>Maid Sailors</x:v>
      </x:c>
      <x:c r="C10" s="13" t="str">
        <x:v>service timezone</x:v>
      </x:c>
      <x:c r="D10" s="13" t="str">
        <x:v>America/New_York (scenario assumption; widget timezone not independently confirmed)</x:v>
      </x:c>
    </x:row>
    <x:row r="11" ht="38" customHeight="1">
      <x:c r="A11" s="8" t="str">
        <x:v>C1</x:v>
      </x:c>
      <x:c r="B11" s="8" t="str">
        <x:v>Maid Sailors</x:v>
      </x:c>
      <x:c r="C11" s="8" t="str">
        <x:v>scenario</x:v>
      </x:c>
      <x:c r="D11" s="8" t="str">
        <x:v>One-time regular cleaning, 1 Bedroom, 1 Bathroom, Under 1,000 sq. ft.; date 2026-10-06. Default extras left untouched; no add-ons intentionally selected.</x:v>
      </x:c>
    </x:row>
    <x:row r="12" ht="34" customHeight="1">
      <x:c r="A12" s="13" t="str">
        <x:v>C1</x:v>
      </x:c>
      <x:c r="B12" s="13" t="str">
        <x:v>Maid Sailors</x:v>
      </x:c>
      <x:c r="C12" s="13" t="str">
        <x:v>start utc</x:v>
      </x:c>
      <x:c r="D12" s="13" t="str">
        <x:v>UTC 2026-10-04T20:22:03.681Z</x:v>
      </x:c>
    </x:row>
    <x:row r="13" ht="34" customHeight="1">
      <x:c r="A13" s="8" t="str">
        <x:v>C1</x:v>
      </x:c>
      <x:c r="B13" s="8" t="str">
        <x:v>Maid Sailors</x:v>
      </x:c>
      <x:c r="C13" s="8" t="str">
        <x:v>stop utc</x:v>
      </x:c>
      <x:c r="D13" s="8" t="str">
        <x:v>UTC 2026-10-04T20:23:50.595Z</x:v>
      </x:c>
    </x:row>
    <x:row r="14" ht="34" customHeight="1">
      <x:c r="A14" s="13" t="str">
        <x:v>C1</x:v>
      </x:c>
      <x:c r="B14" s="13" t="str">
        <x:v>Maid Sailors</x:v>
      </x:c>
      <x:c r="C14" s="13" t="str">
        <x:v>elapsed seconds</x:v>
      </x:c>
      <x:c r="D14" s="13" t="n">
        <x:v>106.914</x:v>
      </x:c>
    </x:row>
    <x:row r="15" ht="38" customHeight="1">
      <x:c r="A15" s="8" t="str">
        <x:v>C1</x:v>
      </x:c>
      <x:c r="B15" s="8" t="str">
        <x:v>Maid Sailors</x:v>
      </x:c>
      <x:c r="C15" s="8" t="str">
        <x:v>channels used</x:v>
      </x:c>
      <x:c r="D15" s="8" t="str">
        <x:v>provider website
embedded Launch27 booking widget</x:v>
      </x:c>
    </x:row>
    <x:row r="16" ht="64" customHeight="1">
      <x:c r="A16" s="13" t="str">
        <x:v>C1</x:v>
      </x:c>
      <x:c r="B16" s="13" t="str">
        <x:v>Maid Sailors</x:v>
      </x:c>
      <x:c r="C16" s="13" t="str">
        <x:v>channels available not used</x:v>
      </x:c>
      <x:c r="D16" s="13" t="str">
        <x:v>phone
text
email
existing-customer login</x:v>
      </x:c>
    </x:row>
    <x:row r="17" ht="103" customHeight="1">
      <x:c r="A17" s="8" t="str">
        <x:v>C1</x:v>
      </x:c>
      <x:c r="B17" s="8" t="str">
        <x:v>Maid Sailors</x:v>
      </x:c>
      <x:c r="C17" s="8" t="str">
        <x:v>actions</x:v>
      </x:c>
      <x:c r="D17" s="8" t="str">
        <x:v>Opened Boston landing page
Clicked Book Now
Waited for embedded booking form render
Selected 1 Bedroom and One Time
Opened date calendar and selected October 6
Inspected automatically populated time selector and price summary
Stopped before filling contact/address/card fields or clicking final Book Now</x:v>
      </x:c>
    </x:row>
    <x:row r="18" ht="64" customHeight="1">
      <x:c r="A18" s="13" t="str">
        <x:v>C1</x:v>
      </x:c>
      <x:c r="B18" s="13" t="str">
        <x:v>Maid Sailors</x:v>
      </x:c>
      <x:c r="C18" s="13" t="str">
        <x:v>provider choke points ordered</x:v>
      </x:c>
      <x:c r="D18" s="13" t="str">
        <x:v>Contact and address fields present before scope controls, but not necessary to inspect scope/date/price
Embedded dynamic form; price and times updated asynchronously
Payment card and charge-authorization text before final Book Now
Provider reserves right to modify booking for extra costs not noted on order</x:v>
      </x:c>
    </x:row>
    <x:row r="19" ht="64" customHeight="1">
      <x:c r="A19" s="8" t="str">
        <x:v>C1</x:v>
      </x:c>
      <x:c r="B19" s="8" t="str">
        <x:v>Maid Sailors</x:v>
      </x:c>
      <x:c r="C19" s="8" t="str">
        <x:v>research environment issues</x:v>
      </x:c>
      <x:c r="D19" s="8" t="str">
        <x:v>Initial locator filter failed
AX date index detached after asynchronous rerender
Time selector changed from placeholder to auto-selected 1:00PM before next click; no click of a specific time occurred</x:v>
      </x:c>
    </x:row>
    <x:row r="20" ht="51" customHeight="1">
      <x:c r="A20" s="13" t="str">
        <x:v>C1</x:v>
      </x:c>
      <x:c r="B20" s="13" t="str">
        <x:v>Maid Sailors</x:v>
      </x:c>
      <x:c r="C20" s="13" t="str">
        <x:v>price evidence</x:v>
      </x:c>
      <x:c r="D20" s="13" t="str">
        <x:v>1 Bedroom / One Time summary: subtotal $160.00, sales tax $14.21, TOTAL $174.21; estimated duration 2 Hours 0 Minutes. No address/ZIP was present during initial inspection, so initial total is unlocalized and conditional.</x:v>
      </x:c>
    </x:row>
    <x:row r="21" ht="51" customHeight="1">
      <x:c r="A21" s="8" t="str">
        <x:v>C1</x:v>
      </x:c>
      <x:c r="B21" s="8" t="str">
        <x:v>Maid Sailors</x:v>
      </x:c>
      <x:c r="C21" s="8" t="str">
        <x:v>slots evidence</x:v>
      </x:c>
      <x:c r="D21" s="8" t="str">
        <x:v>Date field 10/06/2026 and summary auto-populated 1:00PM. In grouped selector, Tue October 6th offers 1:00PM through 7:00PM hourly; October 7-10 offer 8:00AM through 7:00PM hourly. These are displayed options, not confirmed reservations or holds.</x:v>
      </x:c>
    </x:row>
    <x:row r="22" ht="38" customHeight="1">
      <x:c r="A22" s="13" t="str">
        <x:v>C1</x:v>
      </x:c>
      <x:c r="B22" s="13" t="str">
        <x:v>Maid Sailors</x:v>
      </x:c>
      <x:c r="C22" s="13" t="str">
        <x:v>final state</x:v>
      </x:c>
      <x:c r="D22" s="13" t="str">
        <x:v>stopped-at-precommit-form; public price and date/time options observed; contact/address/payment not entered; booking outcome unknown</x:v>
      </x:c>
    </x:row>
    <x:row r="23" ht="34" customHeight="1">
      <x:c r="A23" s="8" t="str">
        <x:v>C1</x:v>
      </x:c>
      <x:c r="B23" s="8" t="str">
        <x:v>Maid Sailors</x:v>
      </x:c>
      <x:c r="C23" s="8" t="str">
        <x:v>supply software observed</x:v>
      </x:c>
      <x:c r="D23" s="8" t="str">
        <x:v>Launch27 embedded hostname; Stripe card widget</x:v>
      </x:c>
    </x:row>
    <x:row r="24" ht="51" customHeight="1">
      <x:c r="A24" s="13" t="str">
        <x:v>C1</x:v>
      </x:c>
      <x:c r="B24" s="13" t="str">
        <x:v>Maid Sailors</x:v>
      </x:c>
      <x:c r="C24" s="13" t="str">
        <x:v>api effect hypothesis</x:v>
      </x:c>
      <x:c r="D24" s="13" t="str">
        <x:v>An authorized structured interface could remove DOM/iframe/rerender traversal and return normalized scope, date/time options and conditional prices. It would not remove address localization, payment authorization, provider extra-cost rights, or confirmation reconciliation.</x:v>
      </x:c>
    </x:row>
    <x:row r="25" ht="38" customHeight="1">
      <x:c r="A25" s="8" t="str">
        <x:v>C1</x:v>
      </x:c>
      <x:c r="B25" s="8" t="str">
        <x:v>Maid Sailors</x:v>
      </x:c>
      <x:c r="C25" s="8" t="str">
        <x:v>returning customer evidence</x:v>
      </x:c>
      <x:c r="D25" s="8" t="str">
        <x:v>LOGIN EXISTING CUSTOMERS and text that existing customers can manage bookings or re-book a clean; no logged-in flow tested.</x:v>
      </x:c>
    </x:row>
    <x:row r="26" ht="116" customHeight="1">
      <x:c r="A26" s="13" t="str">
        <x:v>C1</x:v>
      </x:c>
      <x:c r="B26" s="13" t="str">
        <x:v>Maid Sailors</x:v>
      </x:c>
      <x:c r="C26" s="13" t="str">
        <x:v>localization addendum</x:v>
      </x:c>
      <x:c r="D26" s="13" t="str">
        <x:v>start_utc: 2026-10-04T20:28:54.832Z
stop_utc: 2026-10-04T20:29:09.101Z
elapsed_seconds: 14.269
actions: Entered generic Boston market ZIP 02116 only and blurred field; no name/contact/street address; no submission
result: ZIP field visibly retained 02116. Same $174.21 total, Oct6 1pm auto-selected and grouped time options remained. No explicit service-area validation message. This supports persistence after ZIP entry, not proof that backend price/availability was localized correctly. Do not assert validated Boston-specific capacity.</x:v>
      </x:c>
    </x:row>
    <x:row r="27" ht="34" customHeight="1">
      <x:c r="A27" s="8" t="str">
        <x:v>C1</x:v>
      </x:c>
      <x:c r="B27" s="8" t="str">
        <x:v>Maid Sailors</x:v>
      </x:c>
      <x:c r="C27" s="8" t="str">
        <x:v>observed booking platform</x:v>
      </x:c>
      <x:c r="D27" s="8" t="str">
        <x:v>Launch27</x:v>
      </x:c>
    </x:row>
    <x:row r="28" ht="51" customHeight="1">
      <x:c r="A28" s="13" t="str">
        <x:v>C1</x:v>
      </x:c>
      <x:c r="B28" s="13" t="str">
        <x:v>Maid Sailors</x:v>
      </x:c>
      <x:c r="C28" s="13" t="str">
        <x:v>localization assessment</x:v>
      </x:c>
      <x:c r="D28" s="13" t="str">
        <x:v>Boston landing page; generic multi-city widget. Supplemental ZIP02116 field persisted, but no explicit coverage/price localization validation. Displayed price/time options must not be asserted validated Boston capacity.</x:v>
      </x:c>
    </x:row>
    <x:row r="29" ht="34" customHeight="1">
      <x:c r="A29" s="8" t="str">
        <x:v>C1</x:v>
      </x:c>
      <x:c r="B29" s="8" t="str">
        <x:v>Maid Sailors</x:v>
      </x:c>
      <x:c r="C29" s="8" t="str">
        <x:v>booking success</x:v>
      </x:c>
      <x:c r="D29" s="8" t="str">
        <x:v>UNKNOWN</x:v>
      </x:c>
    </x:row>
    <x:row r="30" ht="34" customHeight="1">
      <x:c r="A30" s="13" t="str">
        <x:v>C1</x:v>
      </x:c>
      <x:c r="B30" s="13" t="str">
        <x:v>Maid Sailors</x:v>
      </x:c>
      <x:c r="C30" s="13" t="str">
        <x:v>booking submitted</x:v>
      </x:c>
      <x:c r="D30" s="30" t="b">
        <x:v>0</x:v>
      </x:c>
    </x:row>
    <x:row r="31" ht="34" customHeight="1">
      <x:c r="A31" s="8" t="str">
        <x:v>C1</x:v>
      </x:c>
      <x:c r="B31" s="8" t="str">
        <x:v>Maid Sailors</x:v>
      </x:c>
      <x:c r="C31" s="8" t="str">
        <x:v>phone call required</x:v>
      </x:c>
      <x:c r="D31" s="8" t="str">
        <x:v>UNKNOWN</x:v>
      </x:c>
    </x:row>
    <x:row r="32" ht="34" customHeight="1">
      <x:c r="A32" s="13" t="str">
        <x:v>C1</x:v>
      </x:c>
      <x:c r="B32" s="13" t="str">
        <x:v>Maid Sailors</x:v>
      </x:c>
      <x:c r="C32" s="13" t="str">
        <x:v>api access tested</x:v>
      </x:c>
      <x:c r="D32" s="30" t="b">
        <x:v>0</x:v>
      </x:c>
    </x:row>
    <x:row r="33" ht="34" customHeight="1">
      <x:c r="A33" s="8" t="str">
        <x:v>C1</x:v>
      </x:c>
      <x:c r="B33" s="8" t="str">
        <x:v>Maid Sailors</x:v>
      </x:c>
      <x:c r="C33" s="8" t="str">
        <x:v>initial url</x:v>
      </x:c>
      <x:c r="D33" s="8" t="str">
        <x:v>https://maidsailors.com/boston/</x:v>
      </x:c>
    </x:row>
    <x:row r="34" ht="34" customHeight="1">
      <x:c r="A34" s="13" t="str">
        <x:v>C1</x:v>
      </x:c>
      <x:c r="B34" s="13" t="str">
        <x:v>Maid Sailors</x:v>
      </x:c>
      <x:c r="C34" s="13" t="str">
        <x:v>final safe url</x:v>
      </x:c>
      <x:c r="D34" s="13" t="str">
        <x:v>https://maidsailors.com/book-now/</x:v>
      </x:c>
    </x:row>
    <x:row r="35" ht="38" customHeight="1">
      <x:c r="A35" s="8" t="str">
        <x:v>C1</x:v>
      </x:c>
      <x:c r="B35" s="8" t="str">
        <x:v>Maid Sailors</x:v>
      </x:c>
      <x:c r="C35" s="8" t="str">
        <x:v>final state normalized</x:v>
      </x:c>
      <x:c r="D35" s="8" t="str">
        <x:v>stopped-at-precommit-form; public price and date/time options observed; contact/address/payment not entered; booking outcome unknown</x:v>
      </x:c>
    </x:row>
    <x:row r="36" ht="38" customHeight="1">
      <x:c r="A36" s="13" t="str">
        <x:v>C1</x:v>
      </x:c>
      <x:c r="B36" s="13" t="str">
        <x:v>Maid Sailors</x:v>
      </x:c>
      <x:c r="C36" s="13" t="str">
        <x:v>rail effect hypothesis</x:v>
      </x:c>
      <x:c r="D36" s="13" t="str">
        <x:v>Normalize scope, conditional price and time-option lookup, avoiding iframe and rerender traversal. Still requires localized coverage, user authorization, payment and confirmation reconciliation.</x:v>
      </x:c>
    </x:row>
    <x:row r="37" ht="34" customHeight="1">
      <x:c r="A37" s="8" t="str">
        <x:v>C1</x:v>
      </x:c>
      <x:c r="B37" s="8" t="str">
        <x:v>Maid Sailors</x:v>
      </x:c>
      <x:c r="C37" s="8" t="str">
        <x:v>price visibility code</x:v>
      </x:c>
      <x:c r="D37" s="8" t="str">
        <x:v>conditional_form_total</x:v>
      </x:c>
    </x:row>
    <x:row r="38" ht="34" customHeight="1">
      <x:c r="A38" s="13" t="str">
        <x:v>C1</x:v>
      </x:c>
      <x:c r="B38" s="13" t="str">
        <x:v>Maid Sailors</x:v>
      </x:c>
      <x:c r="C38" s="13" t="str">
        <x:v>date display code</x:v>
      </x:c>
      <x:c r="D38" s="13" t="str">
        <x:v>dated_time_choices</x:v>
      </x:c>
    </x:row>
    <x:row r="39" ht="34" customHeight="1">
      <x:c r="A39" s="8" t="str">
        <x:v>C2</x:v>
      </x:c>
      <x:c r="B39" s="8" t="str">
        <x:v>MaidPro Boston - Downtown</x:v>
      </x:c>
      <x:c r="C39" s="8" t="str">
        <x:v>metro</x:v>
      </x:c>
      <x:c r="D39" s="8" t="str">
        <x:v>Boston</x:v>
      </x:c>
    </x:row>
    <x:row r="40" ht="34" customHeight="1">
      <x:c r="A40" s="13" t="str">
        <x:v>C2</x:v>
      </x:c>
      <x:c r="B40" s="13" t="str">
        <x:v>MaidPro Boston - Downtown</x:v>
      </x:c>
      <x:c r="C40" s="13" t="str">
        <x:v>provider url</x:v>
      </x:c>
      <x:c r="D40" s="13" t="str">
        <x:v>https://maidpro.com/boston-maidpro</x:v>
      </x:c>
    </x:row>
    <x:row r="41" ht="34" customHeight="1">
      <x:c r="A41" s="8" t="str">
        <x:v>C2</x:v>
      </x:c>
      <x:c r="B41" s="8" t="str">
        <x:v>MaidPro Boston - Downtown</x:v>
      </x:c>
      <x:c r="C41" s="8" t="str">
        <x:v>booking url</x:v>
      </x:c>
      <x:c r="D41" s="8" t="str">
        <x:v>https://maidpro.com/boston-maidpro/estimate</x:v>
      </x:c>
    </x:row>
    <x:row r="42" ht="34" customHeight="1">
      <x:c r="A42" s="13" t="str">
        <x:v>C2</x:v>
      </x:c>
      <x:c r="B42" s="13" t="str">
        <x:v>MaidPro Boston - Downtown</x:v>
      </x:c>
      <x:c r="C42" s="13" t="str">
        <x:v>observed date</x:v>
      </x:c>
      <x:c r="D42" s="13" t="str">
        <x:v>2026-10-04</x:v>
      </x:c>
    </x:row>
    <x:row r="43" ht="34" customHeight="1">
      <x:c r="A43" s="8" t="str">
        <x:v>C2</x:v>
      </x:c>
      <x:c r="B43" s="8" t="str">
        <x:v>MaidPro Boston - Downtown</x:v>
      </x:c>
      <x:c r="C43" s="8" t="str">
        <x:v>service timezone</x:v>
      </x:c>
      <x:c r="D43" s="8" t="str">
        <x:v>America/New_York (scenario)</x:v>
      </x:c>
    </x:row>
    <x:row r="44" ht="38" customHeight="1">
      <x:c r="A44" s="13" t="str">
        <x:v>C2</x:v>
      </x:c>
      <x:c r="B44" s="13" t="str">
        <x:v>MaidPro Boston - Downtown</x:v>
      </x:c>
      <x:c r="C44" s="13" t="str">
        <x:v>scenario</x:v>
      </x:c>
      <x:c r="D44" s="13" t="str">
        <x:v>One-time regular cleaning, 1 bedroom / 1 bath / under 1000 sq. ft., target October 6-10, 2026. Scope/date not entered because endpoint is contact-first quote form.</x:v>
      </x:c>
    </x:row>
    <x:row r="45" ht="34" customHeight="1">
      <x:c r="A45" s="8" t="str">
        <x:v>C2</x:v>
      </x:c>
      <x:c r="B45" s="8" t="str">
        <x:v>MaidPro Boston - Downtown</x:v>
      </x:c>
      <x:c r="C45" s="8" t="str">
        <x:v>start utc</x:v>
      </x:c>
      <x:c r="D45" s="8" t="str">
        <x:v>UTC 2026-10-04T20:24:29.803Z</x:v>
      </x:c>
    </x:row>
    <x:row r="46" ht="34" customHeight="1">
      <x:c r="A46" s="13" t="str">
        <x:v>C2</x:v>
      </x:c>
      <x:c r="B46" s="13" t="str">
        <x:v>MaidPro Boston - Downtown</x:v>
      </x:c>
      <x:c r="C46" s="13" t="str">
        <x:v>booking entry utc</x:v>
      </x:c>
      <x:c r="D46" s="13" t="str">
        <x:v>UTC 2026-10-04T20:24:43.043Z</x:v>
      </x:c>
    </x:row>
    <x:row r="47" ht="34" customHeight="1">
      <x:c r="A47" s="8" t="str">
        <x:v>C2</x:v>
      </x:c>
      <x:c r="B47" s="8" t="str">
        <x:v>MaidPro Boston - Downtown</x:v>
      </x:c>
      <x:c r="C47" s="8" t="str">
        <x:v>stop utc</x:v>
      </x:c>
      <x:c r="D47" s="8" t="str">
        <x:v>UTC 2026-10-04T20:24:58.800Z</x:v>
      </x:c>
    </x:row>
    <x:row r="48" ht="34" customHeight="1">
      <x:c r="A48" s="13" t="str">
        <x:v>C2</x:v>
      </x:c>
      <x:c r="B48" s="13" t="str">
        <x:v>MaidPro Boston - Downtown</x:v>
      </x:c>
      <x:c r="C48" s="13" t="str">
        <x:v>elapsed seconds</x:v>
      </x:c>
      <x:c r="D48" s="13" t="n">
        <x:v>28.997</x:v>
      </x:c>
    </x:row>
    <x:row r="49" ht="38" customHeight="1">
      <x:c r="A49" s="8" t="str">
        <x:v>C2</x:v>
      </x:c>
      <x:c r="B49" s="8" t="str">
        <x:v>MaidPro Boston - Downtown</x:v>
      </x:c>
      <x:c r="C49" s="8" t="str">
        <x:v>channels used</x:v>
      </x:c>
      <x:c r="D49" s="8" t="str">
        <x:v>provider website
public estimate form</x:v>
      </x:c>
    </x:row>
    <x:row r="50" ht="38" customHeight="1">
      <x:c r="A50" s="13" t="str">
        <x:v>C2</x:v>
      </x:c>
      <x:c r="B50" s="13" t="str">
        <x:v>MaidPro Boston - Downtown</x:v>
      </x:c>
      <x:c r="C50" s="13" t="str">
        <x:v>channels available not used</x:v>
      </x:c>
      <x:c r="D50" s="13" t="str">
        <x:v>phone
email</x:v>
      </x:c>
    </x:row>
    <x:row r="51" ht="64" customHeight="1">
      <x:c r="A51" s="8" t="str">
        <x:v>C2</x:v>
      </x:c>
      <x:c r="B51" s="8" t="str">
        <x:v>MaidPro Boston - Downtown</x:v>
      </x:c>
      <x:c r="C51" s="8" t="str">
        <x:v>actions</x:v>
      </x:c>
      <x:c r="D51" s="8" t="str">
        <x:v>Opened Boston-Downtown page
Clicked location-specific Get a Free Estimate
Read rendered quote form
Stopped without entering data or clicking Get Your Quote</x:v>
      </x:c>
    </x:row>
    <x:row r="52" ht="64" customHeight="1">
      <x:c r="A52" s="13" t="str">
        <x:v>C2</x:v>
      </x:c>
      <x:c r="B52" s="13" t="str">
        <x:v>MaidPro Boston - Downtown</x:v>
      </x:c>
      <x:c r="C52" s="13" t="str">
        <x:v>provider choke points ordered</x:v>
      </x:c>
      <x:c r="D52" s="13" t="str">
        <x:v>Quote rather than priced booking entry
Required first/last name, ZIP, email and phone before Get Your Quote
No visible live slot/date selector or base-service price
Terms of Use acceptance associated with Get Your Quote</x:v>
      </x:c>
    </x:row>
    <x:row r="53" ht="34" customHeight="1">
      <x:c r="A53" s="8" t="str">
        <x:v>C2</x:v>
      </x:c>
      <x:c r="B53" s="8" t="str">
        <x:v>MaidPro Boston - Downtown</x:v>
      </x:c>
      <x:c r="C53" s="8" t="str">
        <x:v>research environment issues</x:v>
      </x:c>
      <x:c r="D53" s="8" t="str">
        <x:v>Initial AX state preceded form load; subsequent screenshot and DOM showed form</x:v>
      </x:c>
    </x:row>
    <x:row r="54" ht="38" customHeight="1">
      <x:c r="A54" s="13" t="str">
        <x:v>C2</x:v>
      </x:c>
      <x:c r="B54" s="13" t="str">
        <x:v>MaidPro Boston - Downtown</x:v>
      </x:c>
      <x:c r="C54" s="13" t="str">
        <x:v>price evidence</x:v>
      </x:c>
      <x:c r="D54" s="13" t="str">
        <x:v>No base cleaning price in observed funnel. Landing page advertised $25 refrigerator add-on for new customers and $75 recurring promotion, neither equals scenario price.</x:v>
      </x:c>
    </x:row>
    <x:row r="55" ht="34" customHeight="1">
      <x:c r="A55" s="8" t="str">
        <x:v>C2</x:v>
      </x:c>
      <x:c r="B55" s="8" t="str">
        <x:v>MaidPro Boston - Downtown</x:v>
      </x:c>
      <x:c r="C55" s="8" t="str">
        <x:v>slots evidence</x:v>
      </x:c>
      <x:c r="D55" s="8" t="str">
        <x:v>No date/time inventory or date selector in observed quote form</x:v>
      </x:c>
    </x:row>
    <x:row r="56" ht="34" customHeight="1">
      <x:c r="A56" s="13" t="str">
        <x:v>C2</x:v>
      </x:c>
      <x:c r="B56" s="13" t="str">
        <x:v>MaidPro Boston - Downtown</x:v>
      </x:c>
      <x:c r="C56" s="13" t="str">
        <x:v>final state</x:v>
      </x:c>
      <x:c r="D56" s="13" t="str">
        <x:v>stopped-at-contact/quote-submission-gate; no quote submitted, no quote pending, no booking confirmed</x:v>
      </x:c>
    </x:row>
    <x:row r="57" ht="38" customHeight="1">
      <x:c r="A57" s="8" t="str">
        <x:v>C2</x:v>
      </x:c>
      <x:c r="B57" s="8" t="str">
        <x:v>MaidPro Boston - Downtown</x:v>
      </x:c>
      <x:c r="C57" s="8" t="str">
        <x:v>supply software observed</x:v>
      </x:c>
      <x:c r="D57" s="8" t="str">
        <x:v>Website footer Powered by Octane; quote form mentions hCaptcha protection. No live CAPTCHA challenge encountered; booking/FSM backend not verified.</x:v>
      </x:c>
    </x:row>
    <x:row r="58" ht="38" customHeight="1">
      <x:c r="A58" s="13" t="str">
        <x:v>C2</x:v>
      </x:c>
      <x:c r="B58" s="13" t="str">
        <x:v>MaidPro Boston - Downtown</x:v>
      </x:c>
      <x:c r="C58" s="13" t="str">
        <x:v>api effect hypothesis</x:v>
      </x:c>
      <x:c r="D58" s="13" t="str">
        <x:v>A rail could structure quote intake only if provider authorizes it. Removing form traversal alone would not yield firm price/capacity or eliminate provider quoting decisions.</x:v>
      </x:c>
    </x:row>
    <x:row r="59" ht="34" customHeight="1">
      <x:c r="A59" s="8" t="str">
        <x:v>C2</x:v>
      </x:c>
      <x:c r="B59" s="8" t="str">
        <x:v>MaidPro Boston - Downtown</x:v>
      </x:c>
      <x:c r="C59" s="8" t="str">
        <x:v>returning customer evidence</x:v>
      </x:c>
      <x:c r="D59" s="8" t="str">
        <x:v>No rebooking path inspected</x:v>
      </x:c>
    </x:row>
    <x:row r="60" ht="34" customHeight="1">
      <x:c r="A60" s="13" t="str">
        <x:v>C2</x:v>
      </x:c>
      <x:c r="B60" s="13" t="str">
        <x:v>MaidPro Boston - Downtown</x:v>
      </x:c>
      <x:c r="C60" s="13" t="str">
        <x:v>localization assessment</x:v>
      </x:c>
      <x:c r="D60" s="13" t="str">
        <x:v>Dedicated Boston-Downtown estimate page; no price/date observed.</x:v>
      </x:c>
    </x:row>
    <x:row r="61" ht="34" customHeight="1">
      <x:c r="A61" s="8" t="str">
        <x:v>C2</x:v>
      </x:c>
      <x:c r="B61" s="8" t="str">
        <x:v>MaidPro Boston - Downtown</x:v>
      </x:c>
      <x:c r="C61" s="8" t="str">
        <x:v>booking success</x:v>
      </x:c>
      <x:c r="D61" s="8" t="str">
        <x:v>UNKNOWN</x:v>
      </x:c>
    </x:row>
    <x:row r="62" ht="34" customHeight="1">
      <x:c r="A62" s="13" t="str">
        <x:v>C2</x:v>
      </x:c>
      <x:c r="B62" s="13" t="str">
        <x:v>MaidPro Boston - Downtown</x:v>
      </x:c>
      <x:c r="C62" s="13" t="str">
        <x:v>booking submitted</x:v>
      </x:c>
      <x:c r="D62" s="30" t="b">
        <x:v>0</x:v>
      </x:c>
    </x:row>
    <x:row r="63" ht="34" customHeight="1">
      <x:c r="A63" s="8" t="str">
        <x:v>C2</x:v>
      </x:c>
      <x:c r="B63" s="8" t="str">
        <x:v>MaidPro Boston - Downtown</x:v>
      </x:c>
      <x:c r="C63" s="8" t="str">
        <x:v>phone call required</x:v>
      </x:c>
      <x:c r="D63" s="8" t="str">
        <x:v>UNKNOWN</x:v>
      </x:c>
    </x:row>
    <x:row r="64" ht="34" customHeight="1">
      <x:c r="A64" s="13" t="str">
        <x:v>C2</x:v>
      </x:c>
      <x:c r="B64" s="13" t="str">
        <x:v>MaidPro Boston - Downtown</x:v>
      </x:c>
      <x:c r="C64" s="13" t="str">
        <x:v>api access tested</x:v>
      </x:c>
      <x:c r="D64" s="30" t="b">
        <x:v>0</x:v>
      </x:c>
    </x:row>
    <x:row r="65" ht="34" customHeight="1">
      <x:c r="A65" s="8" t="str">
        <x:v>C2</x:v>
      </x:c>
      <x:c r="B65" s="8" t="str">
        <x:v>MaidPro Boston - Downtown</x:v>
      </x:c>
      <x:c r="C65" s="8" t="str">
        <x:v>initial url</x:v>
      </x:c>
      <x:c r="D65" s="8" t="str">
        <x:v>https://maidpro.com/boston-maidpro</x:v>
      </x:c>
    </x:row>
    <x:row r="66" ht="34" customHeight="1">
      <x:c r="A66" s="13" t="str">
        <x:v>C2</x:v>
      </x:c>
      <x:c r="B66" s="13" t="str">
        <x:v>MaidPro Boston - Downtown</x:v>
      </x:c>
      <x:c r="C66" s="13" t="str">
        <x:v>final safe url</x:v>
      </x:c>
      <x:c r="D66" s="13" t="str">
        <x:v>https://maidpro.com/boston-maidpro/estimate</x:v>
      </x:c>
    </x:row>
    <x:row r="67" ht="34" customHeight="1">
      <x:c r="A67" s="8" t="str">
        <x:v>C2</x:v>
      </x:c>
      <x:c r="B67" s="8" t="str">
        <x:v>MaidPro Boston - Downtown</x:v>
      </x:c>
      <x:c r="C67" s="8" t="str">
        <x:v>final state normalized</x:v>
      </x:c>
      <x:c r="D67" s="8" t="str">
        <x:v>stopped-at-contact/quote-submission-gate; no quote submitted, no quote pending, no booking confirmed</x:v>
      </x:c>
    </x:row>
    <x:row r="68" ht="38" customHeight="1">
      <x:c r="A68" s="13" t="str">
        <x:v>C2</x:v>
      </x:c>
      <x:c r="B68" s="13" t="str">
        <x:v>MaidPro Boston - Downtown</x:v>
      </x:c>
      <x:c r="C68" s="13" t="str">
        <x:v>rail effect hypothesis</x:v>
      </x:c>
      <x:c r="D68" s="13" t="str">
        <x:v>Structure authorized quote intake. A form adapter alone cannot create a firm price or committed capacity when the provider still quotes manually.</x:v>
      </x:c>
    </x:row>
    <x:row r="69" ht="34" customHeight="1">
      <x:c r="A69" s="8" t="str">
        <x:v>C2</x:v>
      </x:c>
      <x:c r="B69" s="8" t="str">
        <x:v>MaidPro Boston - Downtown</x:v>
      </x:c>
      <x:c r="C69" s="8" t="str">
        <x:v>price visibility code</x:v>
      </x:c>
      <x:c r="D69" s="8" t="str">
        <x:v>no_scenario_service_price_observed</x:v>
      </x:c>
    </x:row>
    <x:row r="70" ht="34" customHeight="1">
      <x:c r="A70" s="13" t="str">
        <x:v>C2</x:v>
      </x:c>
      <x:c r="B70" s="13" t="str">
        <x:v>MaidPro Boston - Downtown</x:v>
      </x:c>
      <x:c r="C70" s="13" t="str">
        <x:v>date display code</x:v>
      </x:c>
      <x:c r="D70" s="13" t="str">
        <x:v>no_usable_dated_time_choices_observed</x:v>
      </x:c>
    </x:row>
    <x:row r="71" ht="34" customHeight="1">
      <x:c r="A71" s="8" t="str">
        <x:v>C3</x:v>
      </x:c>
      <x:c r="B71" s="8" t="str">
        <x:v>Unmess</x:v>
      </x:c>
      <x:c r="C71" s="8" t="str">
        <x:v>metro</x:v>
      </x:c>
      <x:c r="D71" s="8" t="str">
        <x:v>Greater Boston</x:v>
      </x:c>
    </x:row>
    <x:row r="72" ht="34" customHeight="1">
      <x:c r="A72" s="13" t="str">
        <x:v>C3</x:v>
      </x:c>
      <x:c r="B72" s="13" t="str">
        <x:v>Unmess</x:v>
      </x:c>
      <x:c r="C72" s="13" t="str">
        <x:v>provider url</x:v>
      </x:c>
      <x:c r="D72" s="13" t="str">
        <x:v>https://getunmess.com/</x:v>
      </x:c>
    </x:row>
    <x:row r="73" ht="38" customHeight="1">
      <x:c r="A73" s="8" t="str">
        <x:v>C3</x:v>
      </x:c>
      <x:c r="B73" s="8" t="str">
        <x:v>Unmess</x:v>
      </x:c>
      <x:c r="C73" s="8" t="str">
        <x:v>booking url</x:v>
      </x:c>
      <x:c r="D73" s="8" t="str">
        <x:v>https://getunmess.bookingkoala.com/booknow/home_cleaning?service_id=6&amp;frequency_id=1&amp;coupon=NEWUNMESS&amp;pricing_parameter%5B1%5D=66&amp;utm_source=direct&amp;utm_medium=(none)</x:v>
      </x:c>
    </x:row>
    <x:row r="74" ht="38" customHeight="1">
      <x:c r="A74" s="13" t="str">
        <x:v>C3</x:v>
      </x:c>
      <x:c r="B74" s="13" t="str">
        <x:v>Unmess</x:v>
      </x:c>
      <x:c r="C74" s="13" t="str">
        <x:v>booking url note</x:v>
      </x:c>
      <x:c r="D74" s="13" t="str">
        <x:v>Exact public outbound link observed on provider site. Actual landing URL appended session analytics parameters, omitted from deliverable.</x:v>
      </x:c>
    </x:row>
    <x:row r="75" ht="34" customHeight="1">
      <x:c r="A75" s="8" t="str">
        <x:v>C3</x:v>
      </x:c>
      <x:c r="B75" s="8" t="str">
        <x:v>Unmess</x:v>
      </x:c>
      <x:c r="C75" s="8" t="str">
        <x:v>observed date</x:v>
      </x:c>
      <x:c r="D75" s="8" t="str">
        <x:v>2026-10-04</x:v>
      </x:c>
    </x:row>
    <x:row r="76" ht="34" customHeight="1">
      <x:c r="A76" s="13" t="str">
        <x:v>C3</x:v>
      </x:c>
      <x:c r="B76" s="13" t="str">
        <x:v>Unmess</x:v>
      </x:c>
      <x:c r="C76" s="13" t="str">
        <x:v>service timezone</x:v>
      </x:c>
      <x:c r="D76" s="13" t="str">
        <x:v>America/New_York (scenario; no widget timezone displayed)</x:v>
      </x:c>
    </x:row>
    <x:row r="77" ht="38" customHeight="1">
      <x:c r="A77" s="8" t="str">
        <x:v>C3</x:v>
      </x:c>
      <x:c r="B77" s="8" t="str">
        <x:v>Unmess</x:v>
      </x:c>
      <x:c r="C77" s="8" t="str">
        <x:v>scenario</x:v>
      </x:c>
      <x:c r="D77" s="8" t="str">
        <x:v>One-time Regular Cleaning, 1 Bedroom, hypothetical Boston ZIP02116, no extras/tips; intended October 6-10, 2026. No bathroom/square-foot selector in observed form.</x:v>
      </x:c>
    </x:row>
    <x:row r="78" ht="34" customHeight="1">
      <x:c r="A78" s="13" t="str">
        <x:v>C3</x:v>
      </x:c>
      <x:c r="B78" s="13" t="str">
        <x:v>Unmess</x:v>
      </x:c>
      <x:c r="C78" s="13" t="str">
        <x:v>start utc</x:v>
      </x:c>
      <x:c r="D78" s="13" t="str">
        <x:v>UTC 2026-10-04T20:25:04.904Z</x:v>
      </x:c>
    </x:row>
    <x:row r="79" ht="34" customHeight="1">
      <x:c r="A79" s="8" t="str">
        <x:v>C3</x:v>
      </x:c>
      <x:c r="B79" s="8" t="str">
        <x:v>Unmess</x:v>
      </x:c>
      <x:c r="C79" s="8" t="str">
        <x:v>booking entry utc</x:v>
      </x:c>
      <x:c r="D79" s="8" t="str">
        <x:v>UTC 2026-10-04T20:25:16.251Z</x:v>
      </x:c>
    </x:row>
    <x:row r="80" ht="38" customHeight="1">
      <x:c r="A80" s="13" t="str">
        <x:v>C3</x:v>
      </x:c>
      <x:c r="B80" s="13" t="str">
        <x:v>Unmess</x:v>
      </x:c>
      <x:c r="C80" s="13" t="str">
        <x:v>booking entry note</x:v>
      </x:c>
      <x:c r="D80" s="13" t="str">
        <x:v>Timestamp preceded first click that opened service details rather than navigation; actual semantic Book one-time link click followed. Not a precise booking-page-load timestamp.</x:v>
      </x:c>
    </x:row>
    <x:row r="81" ht="34" customHeight="1">
      <x:c r="A81" s="8" t="str">
        <x:v>C3</x:v>
      </x:c>
      <x:c r="B81" s="8" t="str">
        <x:v>Unmess</x:v>
      </x:c>
      <x:c r="C81" s="8" t="str">
        <x:v>stop utc</x:v>
      </x:c>
      <x:c r="D81" s="8" t="str">
        <x:v>UTC 2026-10-04T20:28:27.100Z</x:v>
      </x:c>
    </x:row>
    <x:row r="82" ht="34" customHeight="1">
      <x:c r="A82" s="13" t="str">
        <x:v>C3</x:v>
      </x:c>
      <x:c r="B82" s="13" t="str">
        <x:v>Unmess</x:v>
      </x:c>
      <x:c r="C82" s="13" t="str">
        <x:v>elapsed seconds</x:v>
      </x:c>
      <x:c r="D82" s="13" t="n">
        <x:v>202.196</x:v>
      </x:c>
    </x:row>
    <x:row r="83" ht="38" customHeight="1">
      <x:c r="A83" s="8" t="str">
        <x:v>C3</x:v>
      </x:c>
      <x:c r="B83" s="8" t="str">
        <x:v>Unmess</x:v>
      </x:c>
      <x:c r="C83" s="8" t="str">
        <x:v>channels used</x:v>
      </x:c>
      <x:c r="D83" s="8" t="str">
        <x:v>provider website
BookingKoala hosted booking form</x:v>
      </x:c>
    </x:row>
    <x:row r="84" ht="64" customHeight="1">
      <x:c r="A84" s="13" t="str">
        <x:v>C3</x:v>
      </x:c>
      <x:c r="B84" s="13" t="str">
        <x:v>Unmess</x:v>
      </x:c>
      <x:c r="C84" s="13" t="str">
        <x:v>channels available not used</x:v>
      </x:c>
      <x:c r="D84" s="13" t="str">
        <x:v>text
phone
email
login/sign up</x:v>
      </x:c>
    </x:row>
    <x:row r="85" ht="129" customHeight="1">
      <x:c r="A85" s="8" t="str">
        <x:v>C3</x:v>
      </x:c>
      <x:c r="B85" s="8" t="str">
        <x:v>Unmess</x:v>
      </x:c>
      <x:c r="C85" s="8" t="str">
        <x:v>actions</x:v>
      </x:c>
      <x:c r="D85" s="8" t="str">
        <x:v>Opened Greater Boston site
Opened One-Time details
Followed Book one-time public link
Entered generic market ZIP02116 and selected 1 Bedroom
Blurred ZIP
Opened calendar via icon despite text input marked disabled
After one denied screenshot and authorization-context retry, inspected calendar
Clicked October 6 and First Available; no times returned
Stopped without choosing Waiting List, customer information, payment or Save Booking</x:v>
      </x:c>
    </x:row>
    <x:row r="86" ht="64" customHeight="1">
      <x:c r="A86" s="13" t="str">
        <x:v>C3</x:v>
      </x:c>
      <x:c r="B86" s="13" t="str">
        <x:v>Unmess</x:v>
      </x:c>
      <x:c r="C86" s="13" t="str">
        <x:v>provider choke points ordered</x:v>
      </x:c>
      <x:c r="D86" s="13" t="str">
        <x:v>Calendar text input marked disabled but icon opens date-picker, a UI accessibility nuance rather than missing service
Calendar rendered gray dates and did not expose date/time inventory following Oct6 and First Available
Personal details/address and card fields required for later booking</x:v>
      </x:c>
    </x:row>
    <x:row r="87" ht="64" customHeight="1">
      <x:c r="A87" s="8" t="str">
        <x:v>C3</x:v>
      </x:c>
      <x:c r="B87" s="8" t="str">
        <x:v>Unmess</x:v>
      </x:c>
      <x:c r="C87" s="8" t="str">
        <x:v>research environment issues</x:v>
      </x:c>
      <x:c r="D87" s="8" t="str">
        <x:v>Read-only screenshot returned JavaScript execution did not receive approval; one identical retry after supplied authorization evidence succeeded
Elapsed includes permission escalation/reporting wait, so do not attribute that portion to provider
Brief viewport rendering blank during scroll resolved in subsequent screenshot</x:v>
      </x:c>
    </x:row>
    <x:row r="88" ht="64" customHeight="1">
      <x:c r="A88" s="13" t="str">
        <x:v>C3</x:v>
      </x:c>
      <x:c r="B88" s="13" t="str">
        <x:v>Unmess</x:v>
      </x:c>
      <x:c r="C88" s="13" t="str">
        <x:v>price evidence</x:v>
      </x:c>
      <x:c r="D88" s="13" t="str">
        <x:v>Landing page Studio/1BR one-time $150; initial booking default Studio displayed $135 with automatically applied NEWUNMESS coupon; after selecting 1 Bedroom/ZIP form showed $150 and coupon Apply button, so final observed $150 is precommit and coupon not applied to this changed scope. Card charged after appointment; free cancel/reschedule until 24h, then $50 fee.</x:v>
      </x:c>
    </x:row>
    <x:row r="89" ht="51" customHeight="1">
      <x:c r="A89" s="8" t="str">
        <x:v>C3</x:v>
      </x:c>
      <x:c r="B89" s="8" t="str">
        <x:v>Unmess</x:v>
      </x:c>
      <x:c r="C89" s="8" t="str">
        <x:v>slots evidence</x:v>
      </x:c>
      <x:c r="D89" s="8" t="str">
        <x:v>Calendar shows October2026 gray date numbers. October6 click and First Available produced no time inventory or selected date; no explicit unavailable/provider-out-of-area/error message. Cause unknown; cannot infer sold out or absent API.</x:v>
      </x:c>
    </x:row>
    <x:row r="90" ht="38" customHeight="1">
      <x:c r="A90" s="13" t="str">
        <x:v>C3</x:v>
      </x:c>
      <x:c r="B90" s="13" t="str">
        <x:v>Unmess</x:v>
      </x:c>
      <x:c r="C90" s="13" t="str">
        <x:v>final state</x:v>
      </x:c>
      <x:c r="D90" s="13" t="str">
        <x:v>stopped-at-unresolved-availability-interface; no selectable times observed; no booking, waiting-list entry or customer data submitted</x:v>
      </x:c>
    </x:row>
    <x:row r="91" ht="34" customHeight="1">
      <x:c r="A91" s="8" t="str">
        <x:v>C3</x:v>
      </x:c>
      <x:c r="B91" s="8" t="str">
        <x:v>Unmess</x:v>
      </x:c>
      <x:c r="C91" s="8" t="str">
        <x:v>supply software observed</x:v>
      </x:c>
      <x:c r="D91" s="8" t="str">
        <x:v>BookingKoala attribution/hostname and Stripe card widget</x:v>
      </x:c>
    </x:row>
    <x:row r="92" ht="38" customHeight="1">
      <x:c r="A92" s="13" t="str">
        <x:v>C3</x:v>
      </x:c>
      <x:c r="B92" s="13" t="str">
        <x:v>Unmess</x:v>
      </x:c>
      <x:c r="C92" s="13" t="str">
        <x:v>api effect hypothesis</x:v>
      </x:c>
      <x:c r="D92" s="13" t="str">
        <x:v>A structured rail could expose explicit coverage, price and availability status and avoid ambiguous calendar rendering. It cannot manufacture capacity; whether a usable authorized API exists is separate research.</x:v>
      </x:c>
    </x:row>
    <x:row r="93" ht="34" customHeight="1">
      <x:c r="A93" s="8" t="str">
        <x:v>C3</x:v>
      </x:c>
      <x:c r="B93" s="8" t="str">
        <x:v>Unmess</x:v>
      </x:c>
      <x:c r="C93" s="8" t="str">
        <x:v>returning customer evidence</x:v>
      </x:c>
      <x:c r="D93" s="8" t="str">
        <x:v>My Bookings link on provider site and Login/Sign Up in hosted form; not tested</x:v>
      </x:c>
    </x:row>
    <x:row r="94" ht="64" customHeight="1">
      <x:c r="A94" s="13" t="str">
        <x:v>C3</x:v>
      </x:c>
      <x:c r="B94" s="13" t="str">
        <x:v>Unmess</x:v>
      </x:c>
      <x:c r="C94" s="13" t="str">
        <x:v>timing events</x:v>
      </x:c>
      <x:c r="D94" s="13" t="str">
        <x:v>initial_stop_after_denial_and_reporting: 2026-10-04T20:27:03.607Z
resumed_timestamp_logged: 2026-10-04T20:27:54.363Z
note: Retry screenshot happened immediately before resume timestamp. Neither timestamp is an exact measure of all approval overhead; do not subtract for a fabricated net time.</x:v>
      </x:c>
    </x:row>
    <x:row r="95" ht="34" customHeight="1">
      <x:c r="A95" s="8" t="str">
        <x:v>C3</x:v>
      </x:c>
      <x:c r="B95" s="8" t="str">
        <x:v>Unmess</x:v>
      </x:c>
      <x:c r="C95" s="8" t="str">
        <x:v>observed booking platform</x:v>
      </x:c>
      <x:c r="D95" s="8" t="str">
        <x:v>BookingKoala</x:v>
      </x:c>
    </x:row>
    <x:row r="96" ht="38" customHeight="1">
      <x:c r="A96" s="13" t="str">
        <x:v>C3</x:v>
      </x:c>
      <x:c r="B96" s="13" t="str">
        <x:v>Unmess</x:v>
      </x:c>
      <x:c r="C96" s="13" t="str">
        <x:v>localization assessment</x:v>
      </x:c>
      <x:c r="D96" s="13" t="str">
        <x:v>Greater Boston provider, generic ZIP02116 entered; no explicit coverage validation; $150 form total; no date/time inventory obtained.</x:v>
      </x:c>
    </x:row>
    <x:row r="97" ht="34" customHeight="1">
      <x:c r="A97" s="8" t="str">
        <x:v>C3</x:v>
      </x:c>
      <x:c r="B97" s="8" t="str">
        <x:v>Unmess</x:v>
      </x:c>
      <x:c r="C97" s="8" t="str">
        <x:v>booking success</x:v>
      </x:c>
      <x:c r="D97" s="8" t="str">
        <x:v>UNKNOWN</x:v>
      </x:c>
    </x:row>
    <x:row r="98" ht="34" customHeight="1">
      <x:c r="A98" s="13" t="str">
        <x:v>C3</x:v>
      </x:c>
      <x:c r="B98" s="13" t="str">
        <x:v>Unmess</x:v>
      </x:c>
      <x:c r="C98" s="13" t="str">
        <x:v>booking submitted</x:v>
      </x:c>
      <x:c r="D98" s="30" t="b">
        <x:v>0</x:v>
      </x:c>
    </x:row>
    <x:row r="99" ht="34" customHeight="1">
      <x:c r="A99" s="8" t="str">
        <x:v>C3</x:v>
      </x:c>
      <x:c r="B99" s="8" t="str">
        <x:v>Unmess</x:v>
      </x:c>
      <x:c r="C99" s="8" t="str">
        <x:v>phone call required</x:v>
      </x:c>
      <x:c r="D99" s="8" t="str">
        <x:v>UNKNOWN</x:v>
      </x:c>
    </x:row>
    <x:row r="100" ht="34" customHeight="1">
      <x:c r="A100" s="13" t="str">
        <x:v>C3</x:v>
      </x:c>
      <x:c r="B100" s="13" t="str">
        <x:v>Unmess</x:v>
      </x:c>
      <x:c r="C100" s="13" t="str">
        <x:v>api access tested</x:v>
      </x:c>
      <x:c r="D100" s="30" t="b">
        <x:v>0</x:v>
      </x:c>
    </x:row>
    <x:row r="101" ht="34" customHeight="1">
      <x:c r="A101" s="8" t="str">
        <x:v>C3</x:v>
      </x:c>
      <x:c r="B101" s="8" t="str">
        <x:v>Unmess</x:v>
      </x:c>
      <x:c r="C101" s="8" t="str">
        <x:v>initial url</x:v>
      </x:c>
      <x:c r="D101" s="8" t="str">
        <x:v>https://getunmess.com/</x:v>
      </x:c>
    </x:row>
    <x:row r="102" ht="38" customHeight="1">
      <x:c r="A102" s="13" t="str">
        <x:v>C3</x:v>
      </x:c>
      <x:c r="B102" s="13" t="str">
        <x:v>Unmess</x:v>
      </x:c>
      <x:c r="C102" s="13" t="str">
        <x:v>final safe url</x:v>
      </x:c>
      <x:c r="D102" s="13" t="str">
        <x:v>https://getunmess.bookingkoala.com/booknow/home_cleaning?service_id=6&amp;frequency_id=1&amp;coupon=NEWUNMESS&amp;pricing_parameter%5B1%5D=66&amp;utm_source=direct&amp;utm_medium=(none)</x:v>
      </x:c>
    </x:row>
    <x:row r="103" ht="38" customHeight="1">
      <x:c r="A103" s="8" t="str">
        <x:v>C3</x:v>
      </x:c>
      <x:c r="B103" s="8" t="str">
        <x:v>Unmess</x:v>
      </x:c>
      <x:c r="C103" s="8" t="str">
        <x:v>final state normalized</x:v>
      </x:c>
      <x:c r="D103" s="8" t="str">
        <x:v>stopped-at-unresolved-availability-interface; no selectable times observed; no booking, waiting-list entry or customer data submitted</x:v>
      </x:c>
    </x:row>
    <x:row r="104" ht="38" customHeight="1">
      <x:c r="A104" s="13" t="str">
        <x:v>C3</x:v>
      </x:c>
      <x:c r="B104" s="13" t="str">
        <x:v>Unmess</x:v>
      </x:c>
      <x:c r="C104" s="13" t="str">
        <x:v>rail effect hypothesis</x:v>
      </x:c>
      <x:c r="D104" s="13" t="str">
        <x:v>Return explicit coverage and availability status instead of an ambiguous calendar. Capacity and the cause of the empty time display remain unknown.</x:v>
      </x:c>
    </x:row>
    <x:row r="105" ht="34" customHeight="1">
      <x:c r="A105" s="8" t="str">
        <x:v>C3</x:v>
      </x:c>
      <x:c r="B105" s="8" t="str">
        <x:v>Unmess</x:v>
      </x:c>
      <x:c r="C105" s="8" t="str">
        <x:v>price visibility code</x:v>
      </x:c>
      <x:c r="D105" s="8" t="str">
        <x:v>conditional_form_total</x:v>
      </x:c>
    </x:row>
    <x:row r="106" ht="34" customHeight="1">
      <x:c r="A106" s="13" t="str">
        <x:v>C3</x:v>
      </x:c>
      <x:c r="B106" s="13" t="str">
        <x:v>Unmess</x:v>
      </x:c>
      <x:c r="C106" s="13" t="str">
        <x:v>date display code</x:v>
      </x:c>
      <x:c r="D106" s="13" t="str">
        <x:v>no_usable_dated_time_choices_observed</x:v>
      </x:c>
    </x:row>
    <x:row r="107" ht="38" customHeight="1">
      <x:c r="A107" s="8" t="str">
        <x:v>A1</x:v>
      </x:c>
      <x:c r="B107" s="8" t="str">
        <x:v>Firestone Complete Auto Care Boston</x:v>
      </x:c>
      <x:c r="C107" s="8" t="str">
        <x:v>software observed</x:v>
      </x:c>
      <x:c r="D107" s="8" t="str">
        <x:v>Firestone-branded inline Schedule Service form; underlying software vendor unverified</x:v>
      </x:c>
    </x:row>
    <x:row r="108" ht="38" customHeight="1">
      <x:c r="A108" s="13" t="str">
        <x:v>A1</x:v>
      </x:c>
      <x:c r="B108" s="13" t="str">
        <x:v>Firestone Complete Auto Care Boston</x:v>
      </x:c>
      <x:c r="C108" s="13" t="str">
        <x:v>platform evidence</x:v>
      </x:c>
      <x:c r="D108" s="13" t="str">
        <x:v>Visible provider page and inline module; no third-party platform identity observed</x:v>
      </x:c>
    </x:row>
    <x:row r="109" ht="38" customHeight="1">
      <x:c r="A109" s="8" t="str">
        <x:v>A1</x:v>
      </x:c>
      <x:c r="B109" s="8" t="str">
        <x:v>Firestone Complete Auto Care Boston</x:v>
      </x:c>
      <x:c r="C109" s="8" t="str">
        <x:v>deduplication platform key</x:v>
      </x:c>
      <x:c r="D109" s="8" t="str">
        <x:v>UNVERIFIED_FIRESTONE</x:v>
      </x:c>
    </x:row>
    <x:row r="110" ht="38" customHeight="1">
      <x:c r="A110" s="13" t="str">
        <x:v>A1</x:v>
      </x:c>
      <x:c r="B110" s="13" t="str">
        <x:v>Firestone Complete Auto Care Boston</x:v>
      </x:c>
      <x:c r="C110" s="13" t="str">
        <x:v>price scope</x:v>
      </x:c>
      <x:c r="D110" s="13" t="str">
        <x:v>Coupons in OFFERS FOR BOSTON, MA on selected store page; no branch service-total quote</x:v>
      </x:c>
    </x:row>
    <x:row r="111" ht="38" customHeight="1">
      <x:c r="A111" s="8" t="str">
        <x:v>A1</x:v>
      </x:c>
      <x:c r="B111" s="8" t="str">
        <x:v>Firestone Complete Auto Care Boston</x:v>
      </x:c>
      <x:c r="C111" s="8" t="str">
        <x:v>availability scope</x:v>
      </x:c>
      <x:c r="D111" s="8" t="str">
        <x:v>Selected 972 Commonwealth Avenue store and Oil &amp; Filter Change</x:v>
      </x:c>
    </x:row>
    <x:row r="112" ht="38" customHeight="1">
      <x:c r="A112" s="13" t="str">
        <x:v>A1</x:v>
      </x:c>
      <x:c r="B112" s="13" t="str">
        <x:v>Firestone Complete Auto Care Boston</x:v>
      </x:c>
      <x:c r="C112" s="13" t="str">
        <x:v>location</x:v>
      </x:c>
      <x:c r="D112" s="13" t="str">
        <x:v>972 Commonwealth Avenue, Boston, MA 02215</x:v>
      </x:c>
    </x:row>
    <x:row r="113" ht="38" customHeight="1">
      <x:c r="A113" s="8" t="str">
        <x:v>A1</x:v>
      </x:c>
      <x:c r="B113" s="8" t="str">
        <x:v>Firestone Complete Auto Care Boston</x:v>
      </x:c>
      <x:c r="C113" s="8" t="str">
        <x:v>scenario</x:v>
      </x:c>
      <x:c r="D113" s="8" t="str">
        <x:v>Routine oil change, October 6–10 2026, no fabricated vehicle profile</x:v>
      </x:c>
    </x:row>
    <x:row r="114" ht="38" customHeight="1">
      <x:c r="A114" s="13" t="str">
        <x:v>A1</x:v>
      </x:c>
      <x:c r="B114" s="13" t="str">
        <x:v>Firestone Complete Auto Care Boston</x:v>
      </x:c>
      <x:c r="C114" s="13" t="str">
        <x:v>start utc</x:v>
      </x:c>
      <x:c r="D114" s="13" t="str">
        <x:v>UTC 2026-10-04T20:22:18.290Z</x:v>
      </x:c>
    </x:row>
    <x:row r="115" ht="38" customHeight="1">
      <x:c r="A115" s="8" t="str">
        <x:v>A1</x:v>
      </x:c>
      <x:c r="B115" s="8" t="str">
        <x:v>Firestone Complete Auto Care Boston</x:v>
      </x:c>
      <x:c r="C115" s="8" t="str">
        <x:v>stop utc</x:v>
      </x:c>
      <x:c r="D115" s="8" t="str">
        <x:v>UTC 2026-10-04T20:23:01.923Z</x:v>
      </x:c>
    </x:row>
    <x:row r="116" ht="38" customHeight="1">
      <x:c r="A116" s="13" t="str">
        <x:v>A1</x:v>
      </x:c>
      <x:c r="B116" s="13" t="str">
        <x:v>Firestone Complete Auto Care Boston</x:v>
      </x:c>
      <x:c r="C116" s="13" t="str">
        <x:v>elapsed seconds</x:v>
      </x:c>
      <x:c r="D116" s="13" t="n">
        <x:v>43.633</x:v>
      </x:c>
    </x:row>
    <x:row r="117" ht="38" customHeight="1">
      <x:c r="A117" s="8" t="str">
        <x:v>A1</x:v>
      </x:c>
      <x:c r="B117" s="8" t="str">
        <x:v>Firestone Complete Auto Care Boston</x:v>
      </x:c>
      <x:c r="C117" s="8" t="str">
        <x:v>first url</x:v>
      </x:c>
      <x:c r="D117" s="8" t="str">
        <x:v>https://www.firestonecompleteautocare.com/massachusetts/boston/972-commonwealth-avenue/</x:v>
      </x:c>
    </x:row>
    <x:row r="118" ht="38" customHeight="1">
      <x:c r="A118" s="13" t="str">
        <x:v>A1</x:v>
      </x:c>
      <x:c r="B118" s="13" t="str">
        <x:v>Firestone Complete Auto Care Boston</x:v>
      </x:c>
      <x:c r="C118" s="13" t="str">
        <x:v>endpoint url</x:v>
      </x:c>
      <x:c r="D118" s="13" t="str">
        <x:v>https://www.firestonecompleteautocare.com/massachusetts/boston/972-commonwealth-avenue/</x:v>
      </x:c>
    </x:row>
    <x:row r="119" ht="77" customHeight="1">
      <x:c r="A119" s="8" t="str">
        <x:v>A1</x:v>
      </x:c>
      <x:c r="B119" s="8" t="str">
        <x:v>Firestone Complete Auto Care Boston</x:v>
      </x:c>
      <x:c r="C119" s="8" t="str">
        <x:v>path</x:v>
      </x:c>
      <x:c r="D119" s="8" t="str">
        <x:v>Location page
Oil &amp; Filter Change: Schedule Appointment
Inline Schedule Service
Changed date to Tuesday Oct 6
Stopped before vehicle/contact entry and Request an Appointment</x:v>
      </x:c>
    </x:row>
    <x:row r="120" ht="38" customHeight="1">
      <x:c r="A120" s="13" t="str">
        <x:v>A1</x:v>
      </x:c>
      <x:c r="B120" s="13" t="str">
        <x:v>Firestone Complete Auto Care Boston</x:v>
      </x:c>
      <x:c r="C120" s="13" t="str">
        <x:v>endpoint</x:v>
      </x:c>
      <x:c r="D120" s="13" t="str">
        <x:v>Inline dated service/time selector followed by Add a Vehicle and required contact form; Request an Appointment disabled</x:v>
      </x:c>
    </x:row>
    <x:row r="121" ht="38" customHeight="1">
      <x:c r="A121" s="8" t="str">
        <x:v>A1</x:v>
      </x:c>
      <x:c r="B121" s="8" t="str">
        <x:v>Firestone Complete Auto Care Boston</x:v>
      </x:c>
      <x:c r="C121" s="8" t="str">
        <x:v>endpoint class</x:v>
      </x:c>
      <x:c r="D121" s="8" t="str">
        <x:v>stopped_at_data_and_submission_gate</x:v>
      </x:c>
    </x:row>
    <x:row r="122" ht="38" customHeight="1">
      <x:c r="A122" s="13" t="str">
        <x:v>A1</x:v>
      </x:c>
      <x:c r="B122" s="13" t="str">
        <x:v>Firestone Complete Auto Care Boston</x:v>
      </x:c>
      <x:c r="C122" s="13" t="str">
        <x:v>public availability kind</x:v>
      </x:c>
      <x:c r="D122" s="13" t="str">
        <x:v>Offered date/time UI choices, not confirmed inventory or held appointment</x:v>
      </x:c>
    </x:row>
    <x:row r="123" ht="38" customHeight="1">
      <x:c r="A123" s="8" t="str">
        <x:v>A1</x:v>
      </x:c>
      <x:c r="B123" s="8" t="str">
        <x:v>Firestone Complete Auto Care Boston</x:v>
      </x:c>
      <x:c r="C123" s="8" t="str">
        <x:v>observed dates</x:v>
      </x:c>
      <x:c r="D123" s="8" t="str">
        <x:v>Selected October 6; date menu offered October 5,6,7,8</x:v>
      </x:c>
    </x:row>
    <x:row r="124" ht="38" customHeight="1">
      <x:c r="A124" s="13" t="str">
        <x:v>A1</x:v>
      </x:c>
      <x:c r="B124" s="13" t="str">
        <x:v>Firestone Complete Auto Care Boston</x:v>
      </x:c>
      <x:c r="C124" s="13" t="str">
        <x:v>observed slots or timetable</x:v>
      </x:c>
      <x:c r="D124" s="13" t="str">
        <x:v>Oct 6 half-hour labels 8:00am through 6:30pm. First time automatically highlighted; no time was clicked</x:v>
      </x:c>
    </x:row>
    <x:row r="125" ht="38" customHeight="1">
      <x:c r="A125" s="8" t="str">
        <x:v>A1</x:v>
      </x:c>
      <x:c r="B125" s="8" t="str">
        <x:v>Firestone Complete Auto Care Boston</x:v>
      </x:c>
      <x:c r="C125" s="8" t="str">
        <x:v>price</x:v>
      </x:c>
      <x:c r="D125" s="8" t="str">
        <x:v>No oil-change total. $15-off-any-oil-change coupon and up-to-$50 full-synthetic savings promotion only</x:v>
      </x:c>
    </x:row>
    <x:row r="126" ht="103" customHeight="1">
      <x:c r="A126" s="13" t="str">
        <x:v>A1</x:v>
      </x:c>
      <x:c r="B126" s="13" t="str">
        <x:v>Firestone Complete Auto Care Boston</x:v>
      </x:c>
      <x:c r="C126" s="13" t="str">
        <x:v>requirements in sequence</x:v>
      </x:c>
      <x:c r="D126" s="13" t="str">
        <x:v>Service/store
Date/time
Vehicle
Full name
Email
10-digit phone
Request an Appointment</x:v>
      </x:c>
    </x:row>
    <x:row r="127" ht="38" customHeight="1">
      <x:c r="A127" s="8" t="str">
        <x:v>A1</x:v>
      </x:c>
      <x:c r="B127" s="8" t="str">
        <x:v>Firestone Complete Auto Care Boston</x:v>
      </x:c>
      <x:c r="C127" s="8" t="str">
        <x:v>returning customer evidence</x:v>
      </x:c>
      <x:c r="D127" s="8" t="str">
        <x:v>Sign In and My Garage visible; not tested</x:v>
      </x:c>
    </x:row>
    <x:row r="128" ht="38" customHeight="1">
      <x:c r="A128" s="13" t="str">
        <x:v>A1</x:v>
      </x:c>
      <x:c r="B128" s="13" t="str">
        <x:v>Firestone Complete Auto Care Boston</x:v>
      </x:c>
      <x:c r="C128" s="13" t="str">
        <x:v>environment failures</x:v>
      </x:c>
      <x:c r="D128" s="13" t="str"/>
    </x:row>
    <x:row r="129" ht="38" customHeight="1">
      <x:c r="A129" s="8" t="str">
        <x:v>A1</x:v>
      </x:c>
      <x:c r="B129" s="8" t="str">
        <x:v>Firestone Complete Auto Care Boston</x:v>
      </x:c>
      <x:c r="C129" s="8" t="str">
        <x:v>scenario deviations</x:v>
      </x:c>
      <x:c r="D129" s="8" t="str">
        <x:v>October 6 was selected within requested window; other dates were not exhaustively checked. Vehicle absent by protocol</x:v>
      </x:c>
    </x:row>
    <x:row r="130" ht="38" customHeight="1">
      <x:c r="A130" s="13" t="str">
        <x:v>A1</x:v>
      </x:c>
      <x:c r="B130" s="13" t="str">
        <x:v>Firestone Complete Auto Care Boston</x:v>
      </x:c>
      <x:c r="C130" s="13" t="str">
        <x:v>success</x:v>
      </x:c>
      <x:c r="D130" s="13" t="str">
        <x:v>UNKNOWN</x:v>
      </x:c>
    </x:row>
    <x:row r="131" ht="38" customHeight="1">
      <x:c r="A131" s="8" t="str">
        <x:v>A1</x:v>
      </x:c>
      <x:c r="B131" s="8" t="str">
        <x:v>Firestone Complete Auto Care Boston</x:v>
      </x:c>
      <x:c r="C131" s="8" t="str">
        <x:v>completed booking</x:v>
      </x:c>
      <x:c r="D131" s="29" t="b">
        <x:v>0</x:v>
      </x:c>
    </x:row>
    <x:row r="132" ht="38" customHeight="1">
      <x:c r="A132" s="13" t="str">
        <x:v>A1</x:v>
      </x:c>
      <x:c r="B132" s="13" t="str">
        <x:v>Firestone Complete Auto Care Boston</x:v>
      </x:c>
      <x:c r="C132" s="13" t="str">
        <x:v>timing notes</x:v>
      </x:c>
      <x:c r="D132" s="13" t="str">
        <x:v>Stop follows verified endpoint and displayed meaningful screenshot; saved screenshot file was captured after stop</x:v>
      </x:c>
    </x:row>
    <x:row r="133" ht="38" customHeight="1">
      <x:c r="A133" s="8" t="str">
        <x:v>A1</x:v>
      </x:c>
      <x:c r="B133" s="8" t="str">
        <x:v>Firestone Complete Auto Care Boston</x:v>
      </x:c>
      <x:c r="C133" s="8" t="str">
        <x:v>localization assessment</x:v>
      </x:c>
      <x:c r="D133" s="8" t="str">
        <x:v>Boston972CommonwealthAve store visibly selected with Oil&amp;FilterChange and Oct6 date choices. No vehicle-dependent price; local timezone scenario assumed.</x:v>
      </x:c>
    </x:row>
    <x:row r="134" ht="38" customHeight="1">
      <x:c r="A134" s="13" t="str">
        <x:v>A1</x:v>
      </x:c>
      <x:c r="B134" s="13" t="str">
        <x:v>Firestone Complete Auto Care Boston</x:v>
      </x:c>
      <x:c r="C134" s="13" t="str">
        <x:v>booking success</x:v>
      </x:c>
      <x:c r="D134" s="13" t="str">
        <x:v>UNKNOWN</x:v>
      </x:c>
    </x:row>
    <x:row r="135" ht="38" customHeight="1">
      <x:c r="A135" s="8" t="str">
        <x:v>A1</x:v>
      </x:c>
      <x:c r="B135" s="8" t="str">
        <x:v>Firestone Complete Auto Care Boston</x:v>
      </x:c>
      <x:c r="C135" s="8" t="str">
        <x:v>booking submitted</x:v>
      </x:c>
      <x:c r="D135" s="29" t="b">
        <x:v>0</x:v>
      </x:c>
    </x:row>
    <x:row r="136" ht="38" customHeight="1">
      <x:c r="A136" s="13" t="str">
        <x:v>A1</x:v>
      </x:c>
      <x:c r="B136" s="13" t="str">
        <x:v>Firestone Complete Auto Care Boston</x:v>
      </x:c>
      <x:c r="C136" s="13" t="str">
        <x:v>phone call required</x:v>
      </x:c>
      <x:c r="D136" s="13" t="str">
        <x:v>UNKNOWN</x:v>
      </x:c>
    </x:row>
    <x:row r="137" ht="38" customHeight="1">
      <x:c r="A137" s="8" t="str">
        <x:v>A1</x:v>
      </x:c>
      <x:c r="B137" s="8" t="str">
        <x:v>Firestone Complete Auto Care Boston</x:v>
      </x:c>
      <x:c r="C137" s="8" t="str">
        <x:v>api access tested</x:v>
      </x:c>
      <x:c r="D137" s="29" t="b">
        <x:v>0</x:v>
      </x:c>
    </x:row>
    <x:row r="138" ht="38" customHeight="1">
      <x:c r="A138" s="13" t="str">
        <x:v>A1</x:v>
      </x:c>
      <x:c r="B138" s="13" t="str">
        <x:v>Firestone Complete Auto Care Boston</x:v>
      </x:c>
      <x:c r="C138" s="13" t="str">
        <x:v>initial url</x:v>
      </x:c>
      <x:c r="D138" s="13" t="str">
        <x:v>https://www.firestonecompleteautocare.com/massachusetts/boston/972-commonwealth-avenue/</x:v>
      </x:c>
    </x:row>
    <x:row r="139" ht="38" customHeight="1">
      <x:c r="A139" s="8" t="str">
        <x:v>A1</x:v>
      </x:c>
      <x:c r="B139" s="8" t="str">
        <x:v>Firestone Complete Auto Care Boston</x:v>
      </x:c>
      <x:c r="C139" s="8" t="str">
        <x:v>final safe url</x:v>
      </x:c>
      <x:c r="D139" s="8" t="str">
        <x:v>https://www.firestonecompleteautocare.com/massachusetts/boston/972-commonwealth-avenue/</x:v>
      </x:c>
    </x:row>
    <x:row r="140" ht="38" customHeight="1">
      <x:c r="A140" s="13" t="str">
        <x:v>A1</x:v>
      </x:c>
      <x:c r="B140" s="13" t="str">
        <x:v>Firestone Complete Auto Care Boston</x:v>
      </x:c>
      <x:c r="C140" s="13" t="str">
        <x:v>final state normalized</x:v>
      </x:c>
      <x:c r="D140" s="13" t="str">
        <x:v>Inline dated service/time selector followed by Add a Vehicle and required contact form; Request an Appointment disabled</x:v>
      </x:c>
    </x:row>
    <x:row r="141" ht="38" customHeight="1">
      <x:c r="A141" s="8" t="str">
        <x:v>A1</x:v>
      </x:c>
      <x:c r="B141" s="8" t="str">
        <x:v>Firestone Complete Auto Care Boston</x:v>
      </x:c>
      <x:c r="C141" s="8" t="str">
        <x:v>channels used</x:v>
      </x:c>
      <x:c r="D141" s="8" t="str">
        <x:v>public provider website
provider-branded web interface</x:v>
      </x:c>
    </x:row>
    <x:row r="142" ht="38" customHeight="1">
      <x:c r="A142" s="13" t="str">
        <x:v>A1</x:v>
      </x:c>
      <x:c r="B142" s="13" t="str">
        <x:v>Firestone Complete Auto Care Boston</x:v>
      </x:c>
      <x:c r="C142" s="13" t="str">
        <x:v>rail effect hypothesis</x:v>
      </x:c>
      <x:c r="D142" s="13" t="str">
        <x:v>Normalize store, service and offered time choices plus vehicle requirements. Final vehicle-specific price, appointment acceptance and confirmation still need verification.</x:v>
      </x:c>
    </x:row>
    <x:row r="143" ht="38" customHeight="1">
      <x:c r="A143" s="8" t="str">
        <x:v>A1</x:v>
      </x:c>
      <x:c r="B143" s="8" t="str">
        <x:v>Firestone Complete Auto Care Boston</x:v>
      </x:c>
      <x:c r="C143" s="8" t="str">
        <x:v>price visibility code</x:v>
      </x:c>
      <x:c r="D143" s="8" t="str">
        <x:v>no_scenario_service_price_observed</x:v>
      </x:c>
    </x:row>
    <x:row r="144" ht="38" customHeight="1">
      <x:c r="A144" s="13" t="str">
        <x:v>A1</x:v>
      </x:c>
      <x:c r="B144" s="13" t="str">
        <x:v>Firestone Complete Auto Care Boston</x:v>
      </x:c>
      <x:c r="C144" s="13" t="str">
        <x:v>date display code</x:v>
      </x:c>
      <x:c r="D144" s="13" t="str">
        <x:v>dated_time_choices</x:v>
      </x:c>
    </x:row>
    <x:row r="145" ht="34" customHeight="1">
      <x:c r="A145" s="8" t="str">
        <x:v>A2</x:v>
      </x:c>
      <x:c r="B145" s="8" t="str">
        <x:v>Jiffy Lube Dorchester</x:v>
      </x:c>
      <x:c r="C145" s="8" t="str">
        <x:v>software observed</x:v>
      </x:c>
      <x:c r="D145" s="8" t="str">
        <x:v>Jiffy Lube-branded location and Get Estimate dialog; underlying software vendor unverified</x:v>
      </x:c>
    </x:row>
    <x:row r="146" ht="34" customHeight="1">
      <x:c r="A146" s="13" t="str">
        <x:v>A2</x:v>
      </x:c>
      <x:c r="B146" s="13" t="str">
        <x:v>Jiffy Lube Dorchester</x:v>
      </x:c>
      <x:c r="C146" s="13" t="str">
        <x:v>platform evidence</x:v>
      </x:c>
      <x:c r="D146" s="13" t="str">
        <x:v>Visible provider domain and estimate dialog; no third-party platform identity observed</x:v>
      </x:c>
    </x:row>
    <x:row r="147" ht="34" customHeight="1">
      <x:c r="A147" s="8" t="str">
        <x:v>A2</x:v>
      </x:c>
      <x:c r="B147" s="8" t="str">
        <x:v>Jiffy Lube Dorchester</x:v>
      </x:c>
      <x:c r="C147" s="8" t="str">
        <x:v>deduplication platform key</x:v>
      </x:c>
      <x:c r="D147" s="8" t="str">
        <x:v>UNVERIFIED_JIFFY_LUBE</x:v>
      </x:c>
    </x:row>
    <x:row r="148" ht="34" customHeight="1">
      <x:c r="A148" s="13" t="str">
        <x:v>A2</x:v>
      </x:c>
      <x:c r="B148" s="13" t="str">
        <x:v>Jiffy Lube Dorchester</x:v>
      </x:c>
      <x:c r="C148" s="13" t="str">
        <x:v>price scope</x:v>
      </x:c>
      <x:c r="D148" s="13" t="str">
        <x:v>$15-off coupon in Local Coupons for this Dorchester location; no starting price obtained</x:v>
      </x:c>
    </x:row>
    <x:row r="149" ht="34" customHeight="1">
      <x:c r="A149" s="8" t="str">
        <x:v>A2</x:v>
      </x:c>
      <x:c r="B149" s="8" t="str">
        <x:v>Jiffy Lube Dorchester</x:v>
      </x:c>
      <x:c r="C149" s="8" t="str">
        <x:v>availability scope</x:v>
      </x:c>
      <x:c r="D149" s="8" t="str">
        <x:v>No slots on inspected Dorchester path; Boston walk-in statement is generic market-page supporting evidence</x:v>
      </x:c>
    </x:row>
    <x:row r="150" ht="34" customHeight="1">
      <x:c r="A150" s="13" t="str">
        <x:v>A2</x:v>
      </x:c>
      <x:c r="B150" s="13" t="str">
        <x:v>Jiffy Lube Dorchester</x:v>
      </x:c>
      <x:c r="C150" s="13" t="str">
        <x:v>location</x:v>
      </x:c>
      <x:c r="D150" s="13" t="str">
        <x:v>950 William T Morrissey Boulevard, Dorchester, MA 02122</x:v>
      </x:c>
    </x:row>
    <x:row r="151" ht="34" customHeight="1">
      <x:c r="A151" s="8" t="str">
        <x:v>A2</x:v>
      </x:c>
      <x:c r="B151" s="8" t="str">
        <x:v>Jiffy Lube Dorchester</x:v>
      </x:c>
      <x:c r="C151" s="8" t="str">
        <x:v>scenario</x:v>
      </x:c>
      <x:c r="D151" s="8" t="str">
        <x:v>Routine oil change, October 6–10 2026, no fabricated vehicle profile</x:v>
      </x:c>
    </x:row>
    <x:row r="152" ht="34" customHeight="1">
      <x:c r="A152" s="13" t="str">
        <x:v>A2</x:v>
      </x:c>
      <x:c r="B152" s="13" t="str">
        <x:v>Jiffy Lube Dorchester</x:v>
      </x:c>
      <x:c r="C152" s="13" t="str">
        <x:v>start utc</x:v>
      </x:c>
      <x:c r="D152" s="13" t="str">
        <x:v>UTC 2026-10-04T20:23:12.888Z</x:v>
      </x:c>
    </x:row>
    <x:row r="153" ht="34" customHeight="1">
      <x:c r="A153" s="8" t="str">
        <x:v>A2</x:v>
      </x:c>
      <x:c r="B153" s="8" t="str">
        <x:v>Jiffy Lube Dorchester</x:v>
      </x:c>
      <x:c r="C153" s="8" t="str">
        <x:v>stop utc</x:v>
      </x:c>
      <x:c r="D153" s="8" t="str">
        <x:v>UTC 2026-10-04T20:23:58.652Z</x:v>
      </x:c>
    </x:row>
    <x:row r="154" ht="34" customHeight="1">
      <x:c r="A154" s="13" t="str">
        <x:v>A2</x:v>
      </x:c>
      <x:c r="B154" s="13" t="str">
        <x:v>Jiffy Lube Dorchester</x:v>
      </x:c>
      <x:c r="C154" s="13" t="str">
        <x:v>elapsed seconds</x:v>
      </x:c>
      <x:c r="D154" s="13" t="n">
        <x:v>45.764</x:v>
      </x:c>
    </x:row>
    <x:row r="155" ht="34" customHeight="1">
      <x:c r="A155" s="8" t="str">
        <x:v>A2</x:v>
      </x:c>
      <x:c r="B155" s="8" t="str">
        <x:v>Jiffy Lube Dorchester</x:v>
      </x:c>
      <x:c r="C155" s="8" t="str">
        <x:v>first url</x:v>
      </x:c>
      <x:c r="D155" s="8" t="str">
        <x:v>https://www.jiffylube.com/locations/ma/dorchester/1632</x:v>
      </x:c>
    </x:row>
    <x:row r="156" ht="34" customHeight="1">
      <x:c r="A156" s="13" t="str">
        <x:v>A2</x:v>
      </x:c>
      <x:c r="B156" s="13" t="str">
        <x:v>Jiffy Lube Dorchester</x:v>
      </x:c>
      <x:c r="C156" s="13" t="str">
        <x:v>endpoint url</x:v>
      </x:c>
      <x:c r="D156" s="13" t="str">
        <x:v>https://www.jiffylube.com/locations/ma/dorchester/1632</x:v>
      </x:c>
    </x:row>
    <x:row r="157" ht="77" customHeight="1">
      <x:c r="A157" s="8" t="str">
        <x:v>A2</x:v>
      </x:c>
      <x:c r="B157" s="8" t="str">
        <x:v>Jiffy Lube Dorchester</x:v>
      </x:c>
      <x:c r="C157" s="8" t="str">
        <x:v>path</x:v>
      </x:c>
      <x:c r="D157" s="8" t="str">
        <x:v>Location page
Deny optional cookies
Expand Oil Change
Get Estimate
Stopped at preferred-location/vehicle-information dialog</x:v>
      </x:c>
    </x:row>
    <x:row r="158" ht="38" customHeight="1">
      <x:c r="A158" s="13" t="str">
        <x:v>A2</x:v>
      </x:c>
      <x:c r="B158" s="13" t="str">
        <x:v>Jiffy Lube Dorchester</x:v>
      </x:c>
      <x:c r="C158" s="13" t="str">
        <x:v>endpoint</x:v>
      </x:c>
      <x:c r="D158" s="13" t="str">
        <x:v>Dialog says vehicle-specific starting prices require setting this store as preferred and confirming vehicle information; Get Started not clicked</x:v>
      </x:c>
    </x:row>
    <x:row r="159" ht="34" customHeight="1">
      <x:c r="A159" s="8" t="str">
        <x:v>A2</x:v>
      </x:c>
      <x:c r="B159" s="8" t="str">
        <x:v>Jiffy Lube Dorchester</x:v>
      </x:c>
      <x:c r="C159" s="8" t="str">
        <x:v>endpoint class</x:v>
      </x:c>
      <x:c r="D159" s="8" t="str">
        <x:v>stopped_at_estimate_initiation_gate</x:v>
      </x:c>
    </x:row>
    <x:row r="160" ht="38" customHeight="1">
      <x:c r="A160" s="13" t="str">
        <x:v>A2</x:v>
      </x:c>
      <x:c r="B160" s="13" t="str">
        <x:v>Jiffy Lube Dorchester</x:v>
      </x:c>
      <x:c r="C160" s="13" t="str">
        <x:v>public availability kind</x:v>
      </x:c>
      <x:c r="D160" s="13" t="str">
        <x:v>No appointment date/slot picker observed on inspected path; Popular Times graph is historical, not live inventory</x:v>
      </x:c>
    </x:row>
    <x:row r="161" ht="34" customHeight="1">
      <x:c r="A161" s="8" t="str">
        <x:v>A2</x:v>
      </x:c>
      <x:c r="B161" s="8" t="str">
        <x:v>Jiffy Lube Dorchester</x:v>
      </x:c>
      <x:c r="C161" s="8" t="str">
        <x:v>observed dates</x:v>
      </x:c>
      <x:c r="D161" s="8" t="str">
        <x:v>Not reached</x:v>
      </x:c>
    </x:row>
    <x:row r="162" ht="34" customHeight="1">
      <x:c r="A162" s="13" t="str">
        <x:v>A2</x:v>
      </x:c>
      <x:c r="B162" s="13" t="str">
        <x:v>Jiffy Lube Dorchester</x:v>
      </x:c>
      <x:c r="C162" s="13" t="str">
        <x:v>observed slots or timetable</x:v>
      </x:c>
      <x:c r="D162" s="13" t="str">
        <x:v>None observed</x:v>
      </x:c>
    </x:row>
    <x:row r="163" ht="34" customHeight="1">
      <x:c r="A163" s="8" t="str">
        <x:v>A2</x:v>
      </x:c>
      <x:c r="B163" s="8" t="str">
        <x:v>Jiffy Lube Dorchester</x:v>
      </x:c>
      <x:c r="C163" s="8" t="str">
        <x:v>price</x:v>
      </x:c>
      <x:c r="D163" s="8" t="str">
        <x:v>$15-off oil-change coupon only; vehicle-specific starting price behind prerequisite</x:v>
      </x:c>
    </x:row>
    <x:row r="164" ht="64" customHeight="1">
      <x:c r="A164" s="13" t="str">
        <x:v>A2</x:v>
      </x:c>
      <x:c r="B164" s="13" t="str">
        <x:v>Jiffy Lube Dorchester</x:v>
      </x:c>
      <x:c r="C164" s="13" t="str">
        <x:v>requirements in sequence</x:v>
      </x:c>
      <x:c r="D164" s="13" t="str">
        <x:v>Store
Set preferred store
Confirm vehicle information
Later estimate/booking stages untested</x:v>
      </x:c>
    </x:row>
    <x:row r="165" ht="34" customHeight="1">
      <x:c r="A165" s="8" t="str">
        <x:v>A2</x:v>
      </x:c>
      <x:c r="B165" s="8" t="str">
        <x:v>Jiffy Lube Dorchester</x:v>
      </x:c>
      <x:c r="C165" s="8" t="str">
        <x:v>returning customer evidence</x:v>
      </x:c>
      <x:c r="D165" s="8" t="str">
        <x:v>Sign in / Create Account and Register a Vehicle visible; not tested</x:v>
      </x:c>
    </x:row>
    <x:row r="166" ht="38" customHeight="1">
      <x:c r="A166" s="13" t="str">
        <x:v>A2</x:v>
      </x:c>
      <x:c r="B166" s="13" t="str">
        <x:v>Jiffy Lube Dorchester</x:v>
      </x:c>
      <x:c r="C166" s="13" t="str">
        <x:v>environment failures</x:v>
      </x:c>
      <x:c r="D166" s="13" t="str">
        <x:v>First accessibility-index click failed with node-detached error during page loading; refreshed DOM and semantic locator recovered</x:v>
      </x:c>
    </x:row>
    <x:row r="167" ht="38" customHeight="1">
      <x:c r="A167" s="8" t="str">
        <x:v>A2</x:v>
      </x:c>
      <x:c r="B167" s="8" t="str">
        <x:v>Jiffy Lube Dorchester</x:v>
      </x:c>
      <x:c r="C167" s="8" t="str">
        <x:v>scenario deviations</x:v>
      </x:c>
      <x:c r="D167" s="8" t="str">
        <x:v>Date cannot be selected on inspected public path. Reached estimate initiation rather than appointment calendar</x:v>
      </x:c>
    </x:row>
    <x:row r="168" ht="51" customHeight="1">
      <x:c r="A168" s="13" t="str">
        <x:v>A2</x:v>
      </x:c>
      <x:c r="B168" s="13" t="str">
        <x:v>Jiffy Lube Dorchester</x:v>
      </x:c>
      <x:c r="C168" s="13" t="str">
        <x:v>supporting discovery source</x:v>
      </x:c>
      <x:c r="D168" s="13" t="str">
        <x:v>url: https://www.jiffylube.com/market/boston
claim: Official Boston market page says no appointment necessary
evidence_mode: Web-search source before timed browser test, distinct from live browser observation</x:v>
      </x:c>
    </x:row>
    <x:row r="169" ht="34" customHeight="1">
      <x:c r="A169" s="8" t="str">
        <x:v>A2</x:v>
      </x:c>
      <x:c r="B169" s="8" t="str">
        <x:v>Jiffy Lube Dorchester</x:v>
      </x:c>
      <x:c r="C169" s="8" t="str">
        <x:v>success</x:v>
      </x:c>
      <x:c r="D169" s="8" t="str">
        <x:v>UNKNOWN</x:v>
      </x:c>
    </x:row>
    <x:row r="170" ht="34" customHeight="1">
      <x:c r="A170" s="13" t="str">
        <x:v>A2</x:v>
      </x:c>
      <x:c r="B170" s="13" t="str">
        <x:v>Jiffy Lube Dorchester</x:v>
      </x:c>
      <x:c r="C170" s="13" t="str">
        <x:v>completed booking</x:v>
      </x:c>
      <x:c r="D170" s="30" t="b">
        <x:v>0</x:v>
      </x:c>
    </x:row>
    <x:row r="171" ht="38" customHeight="1">
      <x:c r="A171" s="8" t="str">
        <x:v>A2</x:v>
      </x:c>
      <x:c r="B171" s="8" t="str">
        <x:v>Jiffy Lube Dorchester</x:v>
      </x:c>
      <x:c r="C171" s="8" t="str">
        <x:v>localization assessment</x:v>
      </x:c>
      <x:c r="D171" s="8" t="str">
        <x:v>Dorchester950WilliamTMorrisseyBlvd location-specific estimate initiation. No price/date; historical popular times not inventory.</x:v>
      </x:c>
    </x:row>
    <x:row r="172" ht="34" customHeight="1">
      <x:c r="A172" s="13" t="str">
        <x:v>A2</x:v>
      </x:c>
      <x:c r="B172" s="13" t="str">
        <x:v>Jiffy Lube Dorchester</x:v>
      </x:c>
      <x:c r="C172" s="13" t="str">
        <x:v>booking success</x:v>
      </x:c>
      <x:c r="D172" s="13" t="str">
        <x:v>UNKNOWN</x:v>
      </x:c>
    </x:row>
    <x:row r="173" ht="34" customHeight="1">
      <x:c r="A173" s="8" t="str">
        <x:v>A2</x:v>
      </x:c>
      <x:c r="B173" s="8" t="str">
        <x:v>Jiffy Lube Dorchester</x:v>
      </x:c>
      <x:c r="C173" s="8" t="str">
        <x:v>booking submitted</x:v>
      </x:c>
      <x:c r="D173" s="29" t="b">
        <x:v>0</x:v>
      </x:c>
    </x:row>
    <x:row r="174" ht="34" customHeight="1">
      <x:c r="A174" s="13" t="str">
        <x:v>A2</x:v>
      </x:c>
      <x:c r="B174" s="13" t="str">
        <x:v>Jiffy Lube Dorchester</x:v>
      </x:c>
      <x:c r="C174" s="13" t="str">
        <x:v>phone call required</x:v>
      </x:c>
      <x:c r="D174" s="13" t="str">
        <x:v>UNKNOWN</x:v>
      </x:c>
    </x:row>
    <x:row r="175" ht="34" customHeight="1">
      <x:c r="A175" s="8" t="str">
        <x:v>A2</x:v>
      </x:c>
      <x:c r="B175" s="8" t="str">
        <x:v>Jiffy Lube Dorchester</x:v>
      </x:c>
      <x:c r="C175" s="8" t="str">
        <x:v>api access tested</x:v>
      </x:c>
      <x:c r="D175" s="29" t="b">
        <x:v>0</x:v>
      </x:c>
    </x:row>
    <x:row r="176" ht="34" customHeight="1">
      <x:c r="A176" s="13" t="str">
        <x:v>A2</x:v>
      </x:c>
      <x:c r="B176" s="13" t="str">
        <x:v>Jiffy Lube Dorchester</x:v>
      </x:c>
      <x:c r="C176" s="13" t="str">
        <x:v>initial url</x:v>
      </x:c>
      <x:c r="D176" s="13" t="str">
        <x:v>https://www.jiffylube.com/locations/ma/dorchester/1632</x:v>
      </x:c>
    </x:row>
    <x:row r="177" ht="34" customHeight="1">
      <x:c r="A177" s="8" t="str">
        <x:v>A2</x:v>
      </x:c>
      <x:c r="B177" s="8" t="str">
        <x:v>Jiffy Lube Dorchester</x:v>
      </x:c>
      <x:c r="C177" s="8" t="str">
        <x:v>final safe url</x:v>
      </x:c>
      <x:c r="D177" s="8" t="str">
        <x:v>https://www.jiffylube.com/locations/ma/dorchester/1632</x:v>
      </x:c>
    </x:row>
    <x:row r="178" ht="38" customHeight="1">
      <x:c r="A178" s="13" t="str">
        <x:v>A2</x:v>
      </x:c>
      <x:c r="B178" s="13" t="str">
        <x:v>Jiffy Lube Dorchester</x:v>
      </x:c>
      <x:c r="C178" s="13" t="str">
        <x:v>final state normalized</x:v>
      </x:c>
      <x:c r="D178" s="13" t="str">
        <x:v>Dialog says vehicle-specific starting prices require setting this store as preferred and confirming vehicle information; Get Started not clicked</x:v>
      </x:c>
    </x:row>
    <x:row r="179" ht="38" customHeight="1">
      <x:c r="A179" s="8" t="str">
        <x:v>A2</x:v>
      </x:c>
      <x:c r="B179" s="8" t="str">
        <x:v>Jiffy Lube Dorchester</x:v>
      </x:c>
      <x:c r="C179" s="8" t="str">
        <x:v>channels used</x:v>
      </x:c>
      <x:c r="D179" s="8" t="str">
        <x:v>public provider website
provider-branded web interface</x:v>
      </x:c>
    </x:row>
    <x:row r="180" ht="38" customHeight="1">
      <x:c r="A180" s="13" t="str">
        <x:v>A2</x:v>
      </x:c>
      <x:c r="B180" s="13" t="str">
        <x:v>Jiffy Lube Dorchester</x:v>
      </x:c>
      <x:c r="C180" s="13" t="str">
        <x:v>rail effect hypothesis</x:v>
      </x:c>
      <x:c r="D180" s="13" t="str">
        <x:v>Vehicle-specific pricing or queue/status access may be more relevant than an appointment rail for a walk-in provider. Booking need is not established by this path.</x:v>
      </x:c>
    </x:row>
    <x:row r="181" ht="34" customHeight="1">
      <x:c r="A181" s="8" t="str">
        <x:v>A2</x:v>
      </x:c>
      <x:c r="B181" s="8" t="str">
        <x:v>Jiffy Lube Dorchester</x:v>
      </x:c>
      <x:c r="C181" s="8" t="str">
        <x:v>price visibility code</x:v>
      </x:c>
      <x:c r="D181" s="8" t="str">
        <x:v>no_scenario_service_price_observed</x:v>
      </x:c>
    </x:row>
    <x:row r="182" ht="34" customHeight="1">
      <x:c r="A182" s="13" t="str">
        <x:v>A2</x:v>
      </x:c>
      <x:c r="B182" s="13" t="str">
        <x:v>Jiffy Lube Dorchester</x:v>
      </x:c>
      <x:c r="C182" s="13" t="str">
        <x:v>date display code</x:v>
      </x:c>
      <x:c r="D182" s="13" t="str">
        <x:v>no_usable_dated_time_choices_observed</x:v>
      </x:c>
    </x:row>
    <x:row r="183" ht="34" customHeight="1">
      <x:c r="A183" s="8" t="str">
        <x:v>A3</x:v>
      </x:c>
      <x:c r="B183" s="8" t="str">
        <x:v>Parkway Toyota of Boston</x:v>
      </x:c>
      <x:c r="C183" s="8" t="str">
        <x:v>software observed</x:v>
      </x:c>
      <x:c r="D183" s="8" t="str">
        <x:v>Xtime</x:v>
      </x:c>
    </x:row>
    <x:row r="184" ht="34" customHeight="1">
      <x:c r="A184" s="13" t="str">
        <x:v>A3</x:v>
      </x:c>
      <x:c r="B184" s="13" t="str">
        <x:v>Parkway Toyota of Boston</x:v>
      </x:c>
      <x:c r="C184" s="13" t="str">
        <x:v>platform evidence</x:v>
      </x:c>
      <x:c r="D184" s="13" t="str">
        <x:v>Browser AX shows consumer.xtime.com scheduling iframe and Continue to Xtime Home Page branding</x:v>
      </x:c>
    </x:row>
    <x:row r="185" ht="34" customHeight="1">
      <x:c r="A185" s="8" t="str">
        <x:v>A3</x:v>
      </x:c>
      <x:c r="B185" s="8" t="str">
        <x:v>Parkway Toyota of Boston</x:v>
      </x:c>
      <x:c r="C185" s="8" t="str">
        <x:v>deduplication platform key</x:v>
      </x:c>
      <x:c r="D185" s="8" t="str">
        <x:v>XTIME</x:v>
      </x:c>
    </x:row>
    <x:row r="186" ht="34" customHeight="1">
      <x:c r="A186" s="13" t="str">
        <x:v>A3</x:v>
      </x:c>
      <x:c r="B186" s="13" t="str">
        <x:v>Parkway Toyota of Boston</x:v>
      </x:c>
      <x:c r="C186" s="13" t="str">
        <x:v>price scope</x:v>
      </x:c>
      <x:c r="D186" s="13" t="str">
        <x:v>No price observed</x:v>
      </x:c>
    </x:row>
    <x:row r="187" ht="34" customHeight="1">
      <x:c r="A187" s="8" t="str">
        <x:v>A3</x:v>
      </x:c>
      <x:c r="B187" s="8" t="str">
        <x:v>Parkway Toyota of Boston</x:v>
      </x:c>
      <x:c r="C187" s="8" t="str">
        <x:v>availability scope</x:v>
      </x:c>
      <x:c r="D187" s="8" t="str">
        <x:v>Parkway Toyota specific scheduler; vehicle required before service/date</x:v>
      </x:c>
    </x:row>
    <x:row r="188" ht="34" customHeight="1">
      <x:c r="A188" s="13" t="str">
        <x:v>A3</x:v>
      </x:c>
      <x:c r="B188" s="13" t="str">
        <x:v>Parkway Toyota of Boston</x:v>
      </x:c>
      <x:c r="C188" s="13" t="str">
        <x:v>location</x:v>
      </x:c>
      <x:c r="D188" s="13" t="str">
        <x:v>1605 VFW Parkway, West Roxbury, MA 02132</x:v>
      </x:c>
    </x:row>
    <x:row r="189" ht="34" customHeight="1">
      <x:c r="A189" s="8" t="str">
        <x:v>A3</x:v>
      </x:c>
      <x:c r="B189" s="8" t="str">
        <x:v>Parkway Toyota of Boston</x:v>
      </x:c>
      <x:c r="C189" s="8" t="str">
        <x:v>scenario</x:v>
      </x:c>
      <x:c r="D189" s="8" t="str">
        <x:v>Routine oil change, October 6–10 2026, no fabricated vehicle profile</x:v>
      </x:c>
    </x:row>
    <x:row r="190" ht="34" customHeight="1">
      <x:c r="A190" s="13" t="str">
        <x:v>A3</x:v>
      </x:c>
      <x:c r="B190" s="13" t="str">
        <x:v>Parkway Toyota of Boston</x:v>
      </x:c>
      <x:c r="C190" s="13" t="str">
        <x:v>start utc</x:v>
      </x:c>
      <x:c r="D190" s="13" t="str">
        <x:v>UTC 2026-10-04T20:23:58.657Z</x:v>
      </x:c>
    </x:row>
    <x:row r="191" ht="34" customHeight="1">
      <x:c r="A191" s="8" t="str">
        <x:v>A3</x:v>
      </x:c>
      <x:c r="B191" s="8" t="str">
        <x:v>Parkway Toyota of Boston</x:v>
      </x:c>
      <x:c r="C191" s="8" t="str">
        <x:v>stop utc</x:v>
      </x:c>
      <x:c r="D191" s="8" t="str">
        <x:v>UTC 2026-10-04T20:24:31.322Z</x:v>
      </x:c>
    </x:row>
    <x:row r="192" ht="34" customHeight="1">
      <x:c r="A192" s="13" t="str">
        <x:v>A3</x:v>
      </x:c>
      <x:c r="B192" s="13" t="str">
        <x:v>Parkway Toyota of Boston</x:v>
      </x:c>
      <x:c r="C192" s="13" t="str">
        <x:v>elapsed seconds</x:v>
      </x:c>
      <x:c r="D192" s="13" t="n">
        <x:v>32.665</x:v>
      </x:c>
    </x:row>
    <x:row r="193" ht="34" customHeight="1">
      <x:c r="A193" s="8" t="str">
        <x:v>A3</x:v>
      </x:c>
      <x:c r="B193" s="8" t="str">
        <x:v>Parkway Toyota of Boston</x:v>
      </x:c>
      <x:c r="C193" s="8" t="str">
        <x:v>first url</x:v>
      </x:c>
      <x:c r="D193" s="8" t="str">
        <x:v>https://www.parkwaytoyotaboston.com/service/schedule-service/</x:v>
      </x:c>
    </x:row>
    <x:row r="194" ht="34" customHeight="1">
      <x:c r="A194" s="13" t="str">
        <x:v>A3</x:v>
      </x:c>
      <x:c r="B194" s="13" t="str">
        <x:v>Parkway Toyota of Boston</x:v>
      </x:c>
      <x:c r="C194" s="13" t="str">
        <x:v>endpoint url</x:v>
      </x:c>
      <x:c r="D194" s="13" t="str">
        <x:v>https://www.parkwaytoyotaboston.com/service/schedule-service/</x:v>
      </x:c>
    </x:row>
    <x:row r="195" ht="64" customHeight="1">
      <x:c r="A195" s="8" t="str">
        <x:v>A3</x:v>
      </x:c>
      <x:c r="B195" s="8" t="str">
        <x:v>Parkway Toyota of Boston</x:v>
      </x:c>
      <x:c r="C195" s="8" t="str">
        <x:v>path</x:v>
      </x:c>
      <x:c r="D195" s="8" t="str">
        <x:v>Schedule Service page
Xtime start
I'm a new customer / Select year make and model
Stopped at Tell us about your vehicle</x:v>
      </x:c>
    </x:row>
    <x:row r="196" ht="38" customHeight="1">
      <x:c r="A196" s="13" t="str">
        <x:v>A3</x:v>
      </x:c>
      <x:c r="B196" s="13" t="str">
        <x:v>Parkway Toyota of Boston</x:v>
      </x:c>
      <x:c r="C196" s="13" t="str">
        <x:v>endpoint</x:v>
      </x:c>
      <x:c r="D196" s="13" t="str">
        <x:v>Make/year/model and estimated mileage required before Continue to select appointment service; continue disabled</x:v>
      </x:c>
    </x:row>
    <x:row r="197" ht="34" customHeight="1">
      <x:c r="A197" s="8" t="str">
        <x:v>A3</x:v>
      </x:c>
      <x:c r="B197" s="8" t="str">
        <x:v>Parkway Toyota of Boston</x:v>
      </x:c>
      <x:c r="C197" s="8" t="str">
        <x:v>endpoint class</x:v>
      </x:c>
      <x:c r="D197" s="8" t="str">
        <x:v>stopped_at_vehicle_prerequisite</x:v>
      </x:c>
    </x:row>
    <x:row r="198" ht="34" customHeight="1">
      <x:c r="A198" s="13" t="str">
        <x:v>A3</x:v>
      </x:c>
      <x:c r="B198" s="13" t="str">
        <x:v>Parkway Toyota of Boston</x:v>
      </x:c>
      <x:c r="C198" s="13" t="str">
        <x:v>public availability kind</x:v>
      </x:c>
      <x:c r="D198" s="13" t="str">
        <x:v>Not reached</x:v>
      </x:c>
    </x:row>
    <x:row r="199" ht="34" customHeight="1">
      <x:c r="A199" s="8" t="str">
        <x:v>A3</x:v>
      </x:c>
      <x:c r="B199" s="8" t="str">
        <x:v>Parkway Toyota of Boston</x:v>
      </x:c>
      <x:c r="C199" s="8" t="str">
        <x:v>observed dates</x:v>
      </x:c>
      <x:c r="D199" s="8" t="str">
        <x:v>Not reached</x:v>
      </x:c>
    </x:row>
    <x:row r="200" ht="34" customHeight="1">
      <x:c r="A200" s="13" t="str">
        <x:v>A3</x:v>
      </x:c>
      <x:c r="B200" s="13" t="str">
        <x:v>Parkway Toyota of Boston</x:v>
      </x:c>
      <x:c r="C200" s="13" t="str">
        <x:v>observed slots or timetable</x:v>
      </x:c>
      <x:c r="D200" s="13" t="str">
        <x:v>None observed</x:v>
      </x:c>
    </x:row>
    <x:row r="201" ht="34" customHeight="1">
      <x:c r="A201" s="8" t="str">
        <x:v>A3</x:v>
      </x:c>
      <x:c r="B201" s="8" t="str">
        <x:v>Parkway Toyota of Boston</x:v>
      </x:c>
      <x:c r="C201" s="8" t="str">
        <x:v>price</x:v>
      </x:c>
      <x:c r="D201" s="8" t="str">
        <x:v>Not observed</x:v>
      </x:c>
    </x:row>
    <x:row r="202" ht="77" customHeight="1">
      <x:c r="A202" s="13" t="str">
        <x:v>A3</x:v>
      </x:c>
      <x:c r="B202" s="13" t="str">
        <x:v>Parkway Toyota of Boston</x:v>
      </x:c>
      <x:c r="C202" s="13" t="str">
        <x:v>requirements in sequence</x:v>
      </x:c>
      <x:c r="D202" s="13" t="str">
        <x:v>Vehicle make
Year
Model
Estimated mileage
Select appointment service next, untested</x:v>
      </x:c>
    </x:row>
    <x:row r="203" ht="34" customHeight="1">
      <x:c r="A203" s="8" t="str">
        <x:v>A3</x:v>
      </x:c>
      <x:c r="B203" s="8" t="str">
        <x:v>Parkway Toyota of Boston</x:v>
      </x:c>
      <x:c r="C203" s="8" t="str">
        <x:v>returning customer evidence</x:v>
      </x:c>
      <x:c r="D203" s="8" t="str">
        <x:v>Public Xtime start offers returning-customer phone/email search, Sign In and Sign in with Google; not used</x:v>
      </x:c>
    </x:row>
    <x:row r="204" ht="38" customHeight="1">
      <x:c r="A204" s="13" t="str">
        <x:v>A3</x:v>
      </x:c>
      <x:c r="B204" s="13" t="str">
        <x:v>Parkway Toyota of Boston</x:v>
      </x:c>
      <x:c r="C204" s="13" t="str">
        <x:v>environment failures</x:v>
      </x:c>
      <x:c r="D204" s="13" t="str">
        <x:v>Initial createBrowserTab call timed out; inspecting the same owned tab recovered a loaded page and scheduler. No reload or site-failure claim</x:v>
      </x:c>
    </x:row>
    <x:row r="205" ht="34" customHeight="1">
      <x:c r="A205" s="8" t="str">
        <x:v>A3</x:v>
      </x:c>
      <x:c r="B205" s="8" t="str">
        <x:v>Parkway Toyota of Boston</x:v>
      </x:c>
      <x:c r="C205" s="8" t="str">
        <x:v>scenario deviations</x:v>
      </x:c>
      <x:c r="D205" s="8" t="str">
        <x:v>Oil service/date not selected because a real vehicle profile was not supplied</x:v>
      </x:c>
    </x:row>
    <x:row r="206" ht="34" customHeight="1">
      <x:c r="A206" s="13" t="str">
        <x:v>A3</x:v>
      </x:c>
      <x:c r="B206" s="13" t="str">
        <x:v>Parkway Toyota of Boston</x:v>
      </x:c>
      <x:c r="C206" s="13" t="str">
        <x:v>success</x:v>
      </x:c>
      <x:c r="D206" s="13" t="str">
        <x:v>UNKNOWN</x:v>
      </x:c>
    </x:row>
    <x:row r="207" ht="34" customHeight="1">
      <x:c r="A207" s="8" t="str">
        <x:v>A3</x:v>
      </x:c>
      <x:c r="B207" s="8" t="str">
        <x:v>Parkway Toyota of Boston</x:v>
      </x:c>
      <x:c r="C207" s="8" t="str">
        <x:v>completed booking</x:v>
      </x:c>
      <x:c r="D207" s="29" t="b">
        <x:v>0</x:v>
      </x:c>
    </x:row>
    <x:row r="208" ht="34" customHeight="1">
      <x:c r="A208" s="13" t="str">
        <x:v>A3</x:v>
      </x:c>
      <x:c r="B208" s="13" t="str">
        <x:v>Parkway Toyota of Boston</x:v>
      </x:c>
      <x:c r="C208" s="13" t="str">
        <x:v>observed booking platform</x:v>
      </x:c>
      <x:c r="D208" s="13" t="str">
        <x:v>Xtime</x:v>
      </x:c>
    </x:row>
    <x:row r="209" ht="34" customHeight="1">
      <x:c r="A209" s="8" t="str">
        <x:v>A3</x:v>
      </x:c>
      <x:c r="B209" s="8" t="str">
        <x:v>Parkway Toyota of Boston</x:v>
      </x:c>
      <x:c r="C209" s="8" t="str">
        <x:v>localization assessment</x:v>
      </x:c>
      <x:c r="D209" s="8" t="str">
        <x:v>ParkwayToyotaBoston/WestRoxbury scheduler; no service/date/price before vehicle prerequisite.</x:v>
      </x:c>
    </x:row>
    <x:row r="210" ht="34" customHeight="1">
      <x:c r="A210" s="13" t="str">
        <x:v>A3</x:v>
      </x:c>
      <x:c r="B210" s="13" t="str">
        <x:v>Parkway Toyota of Boston</x:v>
      </x:c>
      <x:c r="C210" s="13" t="str">
        <x:v>booking success</x:v>
      </x:c>
      <x:c r="D210" s="13" t="str">
        <x:v>UNKNOWN</x:v>
      </x:c>
    </x:row>
    <x:row r="211" ht="34" customHeight="1">
      <x:c r="A211" s="8" t="str">
        <x:v>A3</x:v>
      </x:c>
      <x:c r="B211" s="8" t="str">
        <x:v>Parkway Toyota of Boston</x:v>
      </x:c>
      <x:c r="C211" s="8" t="str">
        <x:v>booking submitted</x:v>
      </x:c>
      <x:c r="D211" s="29" t="b">
        <x:v>0</x:v>
      </x:c>
    </x:row>
    <x:row r="212" ht="34" customHeight="1">
      <x:c r="A212" s="13" t="str">
        <x:v>A3</x:v>
      </x:c>
      <x:c r="B212" s="13" t="str">
        <x:v>Parkway Toyota of Boston</x:v>
      </x:c>
      <x:c r="C212" s="13" t="str">
        <x:v>phone call required</x:v>
      </x:c>
      <x:c r="D212" s="13" t="str">
        <x:v>UNKNOWN</x:v>
      </x:c>
    </x:row>
    <x:row r="213" ht="34" customHeight="1">
      <x:c r="A213" s="8" t="str">
        <x:v>A3</x:v>
      </x:c>
      <x:c r="B213" s="8" t="str">
        <x:v>Parkway Toyota of Boston</x:v>
      </x:c>
      <x:c r="C213" s="8" t="str">
        <x:v>api access tested</x:v>
      </x:c>
      <x:c r="D213" s="29" t="b">
        <x:v>0</x:v>
      </x:c>
    </x:row>
    <x:row r="214" ht="34" customHeight="1">
      <x:c r="A214" s="13" t="str">
        <x:v>A3</x:v>
      </x:c>
      <x:c r="B214" s="13" t="str">
        <x:v>Parkway Toyota of Boston</x:v>
      </x:c>
      <x:c r="C214" s="13" t="str">
        <x:v>initial url</x:v>
      </x:c>
      <x:c r="D214" s="13" t="str">
        <x:v>https://www.parkwaytoyotaboston.com/service/schedule-service/</x:v>
      </x:c>
    </x:row>
    <x:row r="215" ht="34" customHeight="1">
      <x:c r="A215" s="8" t="str">
        <x:v>A3</x:v>
      </x:c>
      <x:c r="B215" s="8" t="str">
        <x:v>Parkway Toyota of Boston</x:v>
      </x:c>
      <x:c r="C215" s="8" t="str">
        <x:v>final safe url</x:v>
      </x:c>
      <x:c r="D215" s="8" t="str">
        <x:v>https://www.parkwaytoyotaboston.com/service/schedule-service/</x:v>
      </x:c>
    </x:row>
    <x:row r="216" ht="38" customHeight="1">
      <x:c r="A216" s="13" t="str">
        <x:v>A3</x:v>
      </x:c>
      <x:c r="B216" s="13" t="str">
        <x:v>Parkway Toyota of Boston</x:v>
      </x:c>
      <x:c r="C216" s="13" t="str">
        <x:v>final state normalized</x:v>
      </x:c>
      <x:c r="D216" s="13" t="str">
        <x:v>Make/year/model and estimated mileage required before Continue to select appointment service; continue disabled</x:v>
      </x:c>
    </x:row>
    <x:row r="217" ht="38" customHeight="1">
      <x:c r="A217" s="8" t="str">
        <x:v>A3</x:v>
      </x:c>
      <x:c r="B217" s="8" t="str">
        <x:v>Parkway Toyota of Boston</x:v>
      </x:c>
      <x:c r="C217" s="8" t="str">
        <x:v>channels used</x:v>
      </x:c>
      <x:c r="D217" s="8" t="str">
        <x:v>public provider website
Xtime public web interface</x:v>
      </x:c>
    </x:row>
    <x:row r="218" ht="38" customHeight="1">
      <x:c r="A218" s="13" t="str">
        <x:v>A3</x:v>
      </x:c>
      <x:c r="B218" s="13" t="str">
        <x:v>Parkway Toyota of Boston</x:v>
      </x:c>
      <x:c r="C218" s="13" t="str">
        <x:v>rail effect hypothesis</x:v>
      </x:c>
      <x:c r="D218" s="13" t="str">
        <x:v>Reuse an authorized structured vehicle profile to reach service and appointment options. No evidence yet of price, capacity or accessible booking-write API.</x:v>
      </x:c>
    </x:row>
    <x:row r="219" ht="34" customHeight="1">
      <x:c r="A219" s="8" t="str">
        <x:v>A3</x:v>
      </x:c>
      <x:c r="B219" s="8" t="str">
        <x:v>Parkway Toyota of Boston</x:v>
      </x:c>
      <x:c r="C219" s="8" t="str">
        <x:v>price visibility code</x:v>
      </x:c>
      <x:c r="D219" s="8" t="str">
        <x:v>no_scenario_service_price_observed</x:v>
      </x:c>
    </x:row>
    <x:row r="220" ht="34" customHeight="1">
      <x:c r="A220" s="13" t="str">
        <x:v>A3</x:v>
      </x:c>
      <x:c r="B220" s="13" t="str">
        <x:v>Parkway Toyota of Boston</x:v>
      </x:c>
      <x:c r="C220" s="13" t="str">
        <x:v>date display code</x:v>
      </x:c>
      <x:c r="D220" s="13" t="str">
        <x:v>no_usable_dated_time_choices_observed</x:v>
      </x:c>
    </x:row>
    <x:row r="221" ht="34" customHeight="1">
      <x:c r="A221" s="8" t="str">
        <x:v>beauty_01</x:v>
      </x:c>
      <x:c r="B221" s="8" t="str">
        <x:v>LoGrasso's Barbershop</x:v>
      </x:c>
      <x:c r="C221" s="8" t="str">
        <x:v>inspection date</x:v>
      </x:c>
      <x:c r="D221" s="8" t="str">
        <x:v>2026-10-04</x:v>
      </x:c>
    </x:row>
    <x:row r="222" ht="34" customHeight="1">
      <x:c r="A222" s="13" t="str">
        <x:v>beauty_01</x:v>
      </x:c>
      <x:c r="B222" s="13" t="str">
        <x:v>LoGrasso's Barbershop</x:v>
      </x:c>
      <x:c r="C222" s="13" t="str">
        <x:v>market</x:v>
      </x:c>
      <x:c r="D222" s="13" t="str">
        <x:v>Boston metropolitan area, Massachusetts, US</x:v>
      </x:c>
    </x:row>
    <x:row r="223" ht="34" customHeight="1">
      <x:c r="A223" s="8" t="str">
        <x:v>beauty_01</x:v>
      </x:c>
      <x:c r="B223" s="8" t="str">
        <x:v>LoGrasso's Barbershop</x:v>
      </x:c>
      <x:c r="C223" s="8" t="str">
        <x:v>appointment window</x:v>
      </x:c>
      <x:c r="D223" s="8" t="str">
        <x:v>2026-10-06 through 2026-10-10</x:v>
      </x:c>
    </x:row>
    <x:row r="224" ht="34" customHeight="1">
      <x:c r="A224" s="13" t="str">
        <x:v>beauty_01</x:v>
      </x:c>
      <x:c r="B224" s="13" t="str">
        <x:v>LoGrasso's Barbershop</x:v>
      </x:c>
      <x:c r="C224" s="13" t="str">
        <x:v>scenario timezone</x:v>
      </x:c>
      <x:c r="D224" s="13" t="str">
        <x:v>America/New_York</x:v>
      </x:c>
    </x:row>
    <x:row r="225" ht="34" customHeight="1">
      <x:c r="A225" s="8" t="str">
        <x:v>beauty_01</x:v>
      </x:c>
      <x:c r="B225" s="8" t="str">
        <x:v>LoGrasso's Barbershop</x:v>
      </x:c>
      <x:c r="C225" s="8" t="str">
        <x:v>browser</x:v>
      </x:c>
      <x:c r="D225" s="8" t="str">
        <x:v>dot cloud browser, Chromium via CUA</x:v>
      </x:c>
    </x:row>
    <x:row r="226" ht="34" customHeight="1">
      <x:c r="A226" s="13" t="str">
        <x:v>beauty_01</x:v>
      </x:c>
      <x:c r="B226" s="13" t="str">
        <x:v>LoGrasso's Barbershop</x:v>
      </x:c>
      <x:c r="C226" s="13" t="str">
        <x:v>customer state</x:v>
      </x:c>
      <x:c r="D226" s="13" t="str">
        <x:v>Unauthenticated, no identity provided</x:v>
      </x:c>
    </x:row>
    <x:row r="227" ht="34" customHeight="1">
      <x:c r="A227" s="8" t="str">
        <x:v>beauty_01</x:v>
      </x:c>
      <x:c r="B227" s="8" t="str">
        <x:v>LoGrasso's Barbershop</x:v>
      </x:c>
      <x:c r="C227" s="8" t="str">
        <x:v>booking success</x:v>
      </x:c>
      <x:c r="D227" s="8" t="str">
        <x:v>UNKNOWN</x:v>
      </x:c>
    </x:row>
    <x:row r="228" ht="34" customHeight="1">
      <x:c r="A228" s="13" t="str">
        <x:v>beauty_01</x:v>
      </x:c>
      <x:c r="B228" s="13" t="str">
        <x:v>LoGrasso's Barbershop</x:v>
      </x:c>
      <x:c r="C228" s="13" t="str">
        <x:v>booking submitted</x:v>
      </x:c>
      <x:c r="D228" s="30" t="b">
        <x:v>0</x:v>
      </x:c>
    </x:row>
    <x:row r="229" ht="34" customHeight="1">
      <x:c r="A229" s="8" t="str">
        <x:v>beauty_01</x:v>
      </x:c>
      <x:c r="B229" s="8" t="str">
        <x:v>LoGrasso's Barbershop</x:v>
      </x:c>
      <x:c r="C229" s="8" t="str">
        <x:v>inventory api assessed</x:v>
      </x:c>
      <x:c r="D229" s="8" t="str">
        <x:v>NO</x:v>
      </x:c>
    </x:row>
    <x:row r="230" ht="34" customHeight="1">
      <x:c r="A230" s="13" t="str">
        <x:v>beauty_01</x:v>
      </x:c>
      <x:c r="B230" s="13" t="str">
        <x:v>LoGrasso's Barbershop</x:v>
      </x:c>
      <x:c r="C230" s="13" t="str">
        <x:v>price currency</x:v>
      </x:c>
      <x:c r="D230" s="13" t="str">
        <x:v>USD</x:v>
      </x:c>
    </x:row>
    <x:row r="231" ht="34" customHeight="1">
      <x:c r="A231" s="8" t="str">
        <x:v>beauty_01</x:v>
      </x:c>
      <x:c r="B231" s="8" t="str">
        <x:v>LoGrasso's Barbershop</x:v>
      </x:c>
      <x:c r="C231" s="8" t="str">
        <x:v>location</x:v>
      </x:c>
      <x:c r="D231" s="8" t="str">
        <x:v>331 W Broadway, South Boston, MA 02127</x:v>
      </x:c>
    </x:row>
    <x:row r="232" ht="34" customHeight="1">
      <x:c r="A232" s="13" t="str">
        <x:v>beauty_01</x:v>
      </x:c>
      <x:c r="B232" s="13" t="str">
        <x:v>LoGrasso's Barbershop</x:v>
      </x:c>
      <x:c r="C232" s="13" t="str">
        <x:v>platform</x:v>
      </x:c>
      <x:c r="D232" s="13" t="str">
        <x:v>Booksy</x:v>
      </x:c>
    </x:row>
    <x:row r="233" ht="34" customHeight="1">
      <x:c r="A233" s="8" t="str">
        <x:v>beauty_01</x:v>
      </x:c>
      <x:c r="B233" s="8" t="str">
        <x:v>LoGrasso's Barbershop</x:v>
      </x:c>
      <x:c r="C233" s="8" t="str">
        <x:v>scenario</x:v>
      </x:c>
      <x:c r="D233" s="8" t="str">
        <x:v>One adult regular haircut; any available staff; October 6-10, 2026</x:v>
      </x:c>
    </x:row>
    <x:row r="234" ht="34" customHeight="1">
      <x:c r="A234" s="13" t="str">
        <x:v>beauty_01</x:v>
      </x:c>
      <x:c r="B234" s="13" t="str">
        <x:v>LoGrasso's Barbershop</x:v>
      </x:c>
      <x:c r="C234" s="13" t="str">
        <x:v>entry url</x:v>
      </x:c>
      <x:c r="D234" s="13" t="str">
        <x:v>https://lograssobarbershop.com/</x:v>
      </x:c>
    </x:row>
    <x:row r="235" ht="34" customHeight="1">
      <x:c r="A235" s="8" t="str">
        <x:v>beauty_01</x:v>
      </x:c>
      <x:c r="B235" s="8" t="str">
        <x:v>LoGrasso's Barbershop</x:v>
      </x:c>
      <x:c r="C235" s="8" t="str">
        <x:v>booking url</x:v>
      </x:c>
      <x:c r="D235" s="8" t="str">
        <x:v>https://booksy.com/en-us/705791_lograssos-barbershop_barber-shop_22412_boston</x:v>
      </x:c>
    </x:row>
    <x:row r="236" ht="34" customHeight="1">
      <x:c r="A236" s="13" t="str">
        <x:v>beauty_01</x:v>
      </x:c>
      <x:c r="B236" s="13" t="str">
        <x:v>LoGrasso's Barbershop</x:v>
      </x:c>
      <x:c r="C236" s="13" t="str">
        <x:v>start utc</x:v>
      </x:c>
      <x:c r="D236" s="13" t="str">
        <x:v>UTC 2026-10-04T20:21:56.799Z</x:v>
      </x:c>
    </x:row>
    <x:row r="237" ht="34" customHeight="1">
      <x:c r="A237" s="8" t="str">
        <x:v>beauty_01</x:v>
      </x:c>
      <x:c r="B237" s="8" t="str">
        <x:v>LoGrasso's Barbershop</x:v>
      </x:c>
      <x:c r="C237" s="8" t="str">
        <x:v>stop utc</x:v>
      </x:c>
      <x:c r="D237" s="8" t="str">
        <x:v>UTC 2026-10-04T20:23:05.514Z</x:v>
      </x:c>
    </x:row>
    <x:row r="238" ht="34" customHeight="1">
      <x:c r="A238" s="13" t="str">
        <x:v>beauty_01</x:v>
      </x:c>
      <x:c r="B238" s="13" t="str">
        <x:v>LoGrasso's Barbershop</x:v>
      </x:c>
      <x:c r="C238" s="13" t="str">
        <x:v>elapsed seconds</x:v>
      </x:c>
      <x:c r="D238" s="13" t="n">
        <x:v>68.715</x:v>
      </x:c>
    </x:row>
    <x:row r="239" ht="38" customHeight="1">
      <x:c r="A239" s="8" t="str">
        <x:v>beauty_01</x:v>
      </x:c>
      <x:c r="B239" s="8" t="str">
        <x:v>LoGrasso's Barbershop</x:v>
      </x:c>
      <x:c r="C239" s="8" t="str">
        <x:v>timing caveat</x:v>
      </x:c>
      <x:c r="D239" s="8" t="str">
        <x:v>Includes tool delays, loading, new-tab discovery and observer decision time. Excludes pre-entry search and post-stop screenshot save.</x:v>
      </x:c>
    </x:row>
    <x:row r="240" ht="34" customHeight="1">
      <x:c r="A240" s="13" t="str">
        <x:v>beauty_01</x:v>
      </x:c>
      <x:c r="B240" s="13" t="str">
        <x:v>LoGrasso's Barbershop</x:v>
      </x:c>
      <x:c r="C240" s="13" t="str">
        <x:v>service</x:v>
      </x:c>
      <x:c r="D240" s="13" t="str">
        <x:v>Regular Cut</x:v>
      </x:c>
    </x:row>
    <x:row r="241" ht="34" customHeight="1">
      <x:c r="A241" s="8" t="str">
        <x:v>beauty_01</x:v>
      </x:c>
      <x:c r="B241" s="8" t="str">
        <x:v>LoGrasso's Barbershop</x:v>
      </x:c>
      <x:c r="C241" s="8" t="str">
        <x:v>price</x:v>
      </x:c>
      <x:c r="D241" s="8" t="n">
        <x:v>35</x:v>
      </x:c>
    </x:row>
    <x:row r="242" ht="34" customHeight="1">
      <x:c r="A242" s="13" t="str">
        <x:v>beauty_01</x:v>
      </x:c>
      <x:c r="B242" s="13" t="str">
        <x:v>LoGrasso's Barbershop</x:v>
      </x:c>
      <x:c r="C242" s="13" t="str">
        <x:v>price qualifier</x:v>
      </x:c>
      <x:c r="D242" s="13" t="str">
        <x:v>Visible service menu and booking widget; not final transaction total</x:v>
      </x:c>
    </x:row>
    <x:row r="243" ht="34" customHeight="1">
      <x:c r="A243" s="8" t="str">
        <x:v>beauty_01</x:v>
      </x:c>
      <x:c r="B243" s="8" t="str">
        <x:v>LoGrasso's Barbershop</x:v>
      </x:c>
      <x:c r="C243" s="8" t="str">
        <x:v>duration minutes</x:v>
      </x:c>
      <x:c r="D243" s="8" t="n">
        <x:v>30</x:v>
      </x:c>
    </x:row>
    <x:row r="244" ht="34" customHeight="1">
      <x:c r="A244" s="13" t="str">
        <x:v>beauty_01</x:v>
      </x:c>
      <x:c r="B244" s="13" t="str">
        <x:v>LoGrasso's Barbershop</x:v>
      </x:c>
      <x:c r="C244" s="13" t="str">
        <x:v>observed date</x:v>
      </x:c>
      <x:c r="D244" s="13" t="str">
        <x:v>2026-10-06</x:v>
      </x:c>
    </x:row>
    <x:row r="245" ht="34" customHeight="1">
      <x:c r="A245" s="8" t="str">
        <x:v>beauty_01</x:v>
      </x:c>
      <x:c r="B245" s="8" t="str">
        <x:v>LoGrasso's Barbershop</x:v>
      </x:c>
      <x:c r="C245" s="8" t="str">
        <x:v>slot count</x:v>
      </x:c>
      <x:c r="D245" s="8" t="n">
        <x:v>32</x:v>
      </x:c>
    </x:row>
    <x:row r="246" ht="34" customHeight="1">
      <x:c r="A246" s="13" t="str">
        <x:v>beauty_01</x:v>
      </x:c>
      <x:c r="B246" s="13" t="str">
        <x:v>LoGrasso's Barbershop</x:v>
      </x:c>
      <x:c r="C246" s="13" t="str">
        <x:v>slot examples</x:v>
      </x:c>
      <x:c r="D246" s="13" t="str">
        <x:v>08:30, 08:45, 09:00 ... 17:00; no slots 13:15/13:30/13:45 in observed list</x:v>
      </x:c>
    </x:row>
    <x:row r="247" ht="34" customHeight="1">
      <x:c r="A247" s="8" t="str">
        <x:v>beauty_01</x:v>
      </x:c>
      <x:c r="B247" s="8" t="str">
        <x:v>LoGrasso's Barbershop</x:v>
      </x:c>
      <x:c r="C247" s="8" t="str">
        <x:v>slot timezone evidence</x:v>
      </x:c>
      <x:c r="D247" s="8" t="str">
        <x:v>Scenario/local Boston time assumed; widget did not visibly label timezone</x:v>
      </x:c>
    </x:row>
    <x:row r="248" ht="34" customHeight="1">
      <x:c r="A248" s="13" t="str">
        <x:v>beauty_01</x:v>
      </x:c>
      <x:c r="B248" s="13" t="str">
        <x:v>LoGrasso's Barbershop</x:v>
      </x:c>
      <x:c r="C248" s="13" t="str">
        <x:v>sequence</x:v>
      </x:c>
      <x:c r="D248" s="13" t="str">
        <x:v>Official site &gt; Book &gt; new Booksy tab &gt; Book Regular Cut &gt; embedded Select Date &amp; Time widget</x:v>
      </x:c>
    </x:row>
    <x:row r="249" ht="34" customHeight="1">
      <x:c r="A249" s="8" t="str">
        <x:v>beauty_01</x:v>
      </x:c>
      <x:c r="B249" s="8" t="str">
        <x:v>LoGrasso's Barbershop</x:v>
      </x:c>
      <x:c r="C249" s="8" t="str">
        <x:v>endpoint</x:v>
      </x:c>
      <x:c r="D249" s="8" t="str">
        <x:v>Stopped at public date/time inventory before Continue</x:v>
      </x:c>
    </x:row>
    <x:row r="250" ht="34" customHeight="1">
      <x:c r="A250" s="13" t="str">
        <x:v>beauty_01</x:v>
      </x:c>
      <x:c r="B250" s="13" t="str">
        <x:v>LoGrasso's Barbershop</x:v>
      </x:c>
      <x:c r="C250" s="13" t="str">
        <x:v>stop classification</x:v>
      </x:c>
      <x:c r="D250" s="13" t="str">
        <x:v>precommit_boundary</x:v>
      </x:c>
    </x:row>
    <x:row r="251" ht="38" customHeight="1">
      <x:c r="A251" s="8" t="str">
        <x:v>beauty_01</x:v>
      </x:c>
      <x:c r="B251" s="8" t="str">
        <x:v>LoGrasso's Barbershop</x:v>
      </x:c>
      <x:c r="C251" s="8" t="str">
        <x:v>gates</x:v>
      </x:c>
      <x:c r="D251" s="8" t="str">
        <x:v>Provider-to-platform redirect; service choice; date/time widget; deeper authentication/payment steps untested</x:v>
      </x:c>
    </x:row>
    <x:row r="252" ht="38" customHeight="1">
      <x:c r="A252" s="13" t="str">
        <x:v>beauty_01</x:v>
      </x:c>
      <x:c r="B252" s="13" t="str">
        <x:v>LoGrasso's Barbershop</x:v>
      </x:c>
      <x:c r="C252" s="13" t="str">
        <x:v>scenario deviation</x:v>
      </x:c>
      <x:c r="D252" s="13" t="str">
        <x:v>Widget automatically selected Oct 6 and 08:30. No manual slot click or Continue. Automatic selection is not proof of reservation/hold status.</x:v>
      </x:c>
    </x:row>
    <x:row r="253" ht="34" customHeight="1">
      <x:c r="A253" s="8" t="str">
        <x:v>beauty_01</x:v>
      </x:c>
      <x:c r="B253" s="8" t="str">
        <x:v>LoGrasso's Barbershop</x:v>
      </x:c>
      <x:c r="C253" s="8" t="str">
        <x:v>returning customer evidence</x:v>
      </x:c>
      <x:c r="D253" s="8" t="str">
        <x:v>Booksy page has Log In / Sign Up; account needed to contact business. Rebooking not tested.</x:v>
      </x:c>
    </x:row>
    <x:row r="254" ht="38" customHeight="1">
      <x:c r="A254" s="13" t="str">
        <x:v>beauty_01</x:v>
      </x:c>
      <x:c r="B254" s="13" t="str">
        <x:v>LoGrasso's Barbershop</x:v>
      </x:c>
      <x:c r="C254" s="13" t="str">
        <x:v>evidence notes</x:v>
      </x:c>
      <x:c r="D254" s="13" t="str">
        <x:v>Screenshot verifies October 2026, selected 6 Tue, Regular Cut $35/30min and named staff member. DOM showed 32 times. Hold/commit semantics beyond this endpoint unknown.</x:v>
      </x:c>
    </x:row>
    <x:row r="255" ht="34" customHeight="1">
      <x:c r="A255" s="8" t="str">
        <x:v>beauty_01</x:v>
      </x:c>
      <x:c r="B255" s="8" t="str">
        <x:v>LoGrasso's Barbershop</x:v>
      </x:c>
      <x:c r="C255" s="8" t="str">
        <x:v>observed software label</x:v>
      </x:c>
      <x:c r="D255" s="8" t="str">
        <x:v>Booksy</x:v>
      </x:c>
    </x:row>
    <x:row r="256" ht="34" customHeight="1">
      <x:c r="A256" s="13" t="str">
        <x:v>beauty_01</x:v>
      </x:c>
      <x:c r="B256" s="13" t="str">
        <x:v>LoGrasso's Barbershop</x:v>
      </x:c>
      <x:c r="C256" s="13" t="str">
        <x:v>software evidence</x:v>
      </x:c>
      <x:c r="D256" s="13" t="str">
        <x:v>Booksy logo, provider listing and Simplified Booking Widget by Booksy in observed page</x:v>
      </x:c>
    </x:row>
    <x:row r="257" ht="34" customHeight="1">
      <x:c r="A257" s="8" t="str">
        <x:v>beauty_01</x:v>
      </x:c>
      <x:c r="B257" s="8" t="str">
        <x:v>LoGrasso's Barbershop</x:v>
      </x:c>
      <x:c r="C257" s="8" t="str">
        <x:v>observed booking platform</x:v>
      </x:c>
      <x:c r="D257" s="8" t="str">
        <x:v>Booksy</x:v>
      </x:c>
    </x:row>
    <x:row r="258" ht="38" customHeight="1">
      <x:c r="A258" s="13" t="str">
        <x:v>beauty_01</x:v>
      </x:c>
      <x:c r="B258" s="13" t="str">
        <x:v>LoGrasso's Barbershop</x:v>
      </x:c>
      <x:c r="C258" s="13" t="str">
        <x:v>localization assessment</x:v>
      </x:c>
      <x:c r="D258" s="13" t="str">
        <x:v>Booksy listing for331W Broadway, South Boston, MA02127. Provider-specific price/time options. Local timezone assumed, not explicitly displayed.</x:v>
      </x:c>
    </x:row>
    <x:row r="259" ht="34" customHeight="1">
      <x:c r="A259" s="8" t="str">
        <x:v>beauty_01</x:v>
      </x:c>
      <x:c r="B259" s="8" t="str">
        <x:v>LoGrasso's Barbershop</x:v>
      </x:c>
      <x:c r="C259" s="8" t="str">
        <x:v>phone call required</x:v>
      </x:c>
      <x:c r="D259" s="8" t="str">
        <x:v>UNKNOWN</x:v>
      </x:c>
    </x:row>
    <x:row r="260" ht="34" customHeight="1">
      <x:c r="A260" s="13" t="str">
        <x:v>beauty_01</x:v>
      </x:c>
      <x:c r="B260" s="13" t="str">
        <x:v>LoGrasso's Barbershop</x:v>
      </x:c>
      <x:c r="C260" s="13" t="str">
        <x:v>api access tested</x:v>
      </x:c>
      <x:c r="D260" s="30" t="b">
        <x:v>0</x:v>
      </x:c>
    </x:row>
    <x:row r="261" ht="34" customHeight="1">
      <x:c r="A261" s="8" t="str">
        <x:v>beauty_01</x:v>
      </x:c>
      <x:c r="B261" s="8" t="str">
        <x:v>LoGrasso's Barbershop</x:v>
      </x:c>
      <x:c r="C261" s="8" t="str">
        <x:v>initial url</x:v>
      </x:c>
      <x:c r="D261" s="8" t="str">
        <x:v>https://lograssobarbershop.com/</x:v>
      </x:c>
    </x:row>
    <x:row r="262" ht="34" customHeight="1">
      <x:c r="A262" s="13" t="str">
        <x:v>beauty_01</x:v>
      </x:c>
      <x:c r="B262" s="13" t="str">
        <x:v>LoGrasso's Barbershop</x:v>
      </x:c>
      <x:c r="C262" s="13" t="str">
        <x:v>final safe url</x:v>
      </x:c>
      <x:c r="D262" s="13" t="str">
        <x:v>https://booksy.com/en-us/705791_lograssos-barbershop_barber-shop_22412_boston</x:v>
      </x:c>
    </x:row>
    <x:row r="263" ht="34" customHeight="1">
      <x:c r="A263" s="8" t="str">
        <x:v>beauty_01</x:v>
      </x:c>
      <x:c r="B263" s="8" t="str">
        <x:v>LoGrasso's Barbershop</x:v>
      </x:c>
      <x:c r="C263" s="8" t="str">
        <x:v>final state normalized</x:v>
      </x:c>
      <x:c r="D263" s="8" t="str">
        <x:v>Stopped at public date/time inventory before Continue</x:v>
      </x:c>
    </x:row>
    <x:row r="264" ht="38" customHeight="1">
      <x:c r="A264" s="13" t="str">
        <x:v>beauty_01</x:v>
      </x:c>
      <x:c r="B264" s="13" t="str">
        <x:v>LoGrasso's Barbershop</x:v>
      </x:c>
      <x:c r="C264" s="13" t="str">
        <x:v>channels used</x:v>
      </x:c>
      <x:c r="D264" s="13" t="str">
        <x:v>public provider website
Booksy public web interface</x:v>
      </x:c>
    </x:row>
    <x:row r="265" ht="38" customHeight="1">
      <x:c r="A265" s="8" t="str">
        <x:v>beauty_01</x:v>
      </x:c>
      <x:c r="B265" s="8" t="str">
        <x:v>LoGrasso's Barbershop</x:v>
      </x:c>
      <x:c r="C265" s="8" t="str">
        <x:v>rail effect hypothesis</x:v>
      </x:c>
      <x:c r="D265" s="8" t="str">
        <x:v>Normalize provider, service, staff, price and time lookup. Consumer authentication, hold semantics, payment and final confirmation still require verification.</x:v>
      </x:c>
    </x:row>
    <x:row r="266" ht="34" customHeight="1">
      <x:c r="A266" s="13" t="str">
        <x:v>beauty_01</x:v>
      </x:c>
      <x:c r="B266" s="13" t="str">
        <x:v>LoGrasso's Barbershop</x:v>
      </x:c>
      <x:c r="C266" s="13" t="str">
        <x:v>price visibility code</x:v>
      </x:c>
      <x:c r="D266" s="13" t="str">
        <x:v>service_menu_price</x:v>
      </x:c>
    </x:row>
    <x:row r="267" ht="34" customHeight="1">
      <x:c r="A267" s="8" t="str">
        <x:v>beauty_01</x:v>
      </x:c>
      <x:c r="B267" s="8" t="str">
        <x:v>LoGrasso's Barbershop</x:v>
      </x:c>
      <x:c r="C267" s="8" t="str">
        <x:v>date display code</x:v>
      </x:c>
      <x:c r="D267" s="8" t="str">
        <x:v>dated_time_choices</x:v>
      </x:c>
    </x:row>
    <x:row r="268" ht="38" customHeight="1">
      <x:c r="A268" s="13" t="str">
        <x:v>beauty_02</x:v>
      </x:c>
      <x:c r="B268" s="13" t="str">
        <x:v>Mr Suazo's Barbershop - Malden</x:v>
      </x:c>
      <x:c r="C268" s="13" t="str">
        <x:v>inspection date</x:v>
      </x:c>
      <x:c r="D268" s="13" t="str">
        <x:v>2026-10-04</x:v>
      </x:c>
    </x:row>
    <x:row r="269" ht="38" customHeight="1">
      <x:c r="A269" s="8" t="str">
        <x:v>beauty_02</x:v>
      </x:c>
      <x:c r="B269" s="8" t="str">
        <x:v>Mr Suazo's Barbershop - Malden</x:v>
      </x:c>
      <x:c r="C269" s="8" t="str">
        <x:v>market</x:v>
      </x:c>
      <x:c r="D269" s="8" t="str">
        <x:v>Boston metropolitan area, Massachusetts, US</x:v>
      </x:c>
    </x:row>
    <x:row r="270" ht="38" customHeight="1">
      <x:c r="A270" s="13" t="str">
        <x:v>beauty_02</x:v>
      </x:c>
      <x:c r="B270" s="13" t="str">
        <x:v>Mr Suazo's Barbershop - Malden</x:v>
      </x:c>
      <x:c r="C270" s="13" t="str">
        <x:v>appointment window</x:v>
      </x:c>
      <x:c r="D270" s="13" t="str">
        <x:v>2026-10-06 through 2026-10-10</x:v>
      </x:c>
    </x:row>
    <x:row r="271" ht="38" customHeight="1">
      <x:c r="A271" s="8" t="str">
        <x:v>beauty_02</x:v>
      </x:c>
      <x:c r="B271" s="8" t="str">
        <x:v>Mr Suazo's Barbershop - Malden</x:v>
      </x:c>
      <x:c r="C271" s="8" t="str">
        <x:v>scenario timezone</x:v>
      </x:c>
      <x:c r="D271" s="8" t="str">
        <x:v>America/New_York</x:v>
      </x:c>
    </x:row>
    <x:row r="272" ht="38" customHeight="1">
      <x:c r="A272" s="13" t="str">
        <x:v>beauty_02</x:v>
      </x:c>
      <x:c r="B272" s="13" t="str">
        <x:v>Mr Suazo's Barbershop - Malden</x:v>
      </x:c>
      <x:c r="C272" s="13" t="str">
        <x:v>browser</x:v>
      </x:c>
      <x:c r="D272" s="13" t="str">
        <x:v>dot cloud browser, Chromium via CUA</x:v>
      </x:c>
    </x:row>
    <x:row r="273" ht="38" customHeight="1">
      <x:c r="A273" s="8" t="str">
        <x:v>beauty_02</x:v>
      </x:c>
      <x:c r="B273" s="8" t="str">
        <x:v>Mr Suazo's Barbershop - Malden</x:v>
      </x:c>
      <x:c r="C273" s="8" t="str">
        <x:v>customer state</x:v>
      </x:c>
      <x:c r="D273" s="8" t="str">
        <x:v>Unauthenticated, no identity provided</x:v>
      </x:c>
    </x:row>
    <x:row r="274" ht="38" customHeight="1">
      <x:c r="A274" s="13" t="str">
        <x:v>beauty_02</x:v>
      </x:c>
      <x:c r="B274" s="13" t="str">
        <x:v>Mr Suazo's Barbershop - Malden</x:v>
      </x:c>
      <x:c r="C274" s="13" t="str">
        <x:v>booking success</x:v>
      </x:c>
      <x:c r="D274" s="13" t="str">
        <x:v>UNKNOWN</x:v>
      </x:c>
    </x:row>
    <x:row r="275" ht="38" customHeight="1">
      <x:c r="A275" s="8" t="str">
        <x:v>beauty_02</x:v>
      </x:c>
      <x:c r="B275" s="8" t="str">
        <x:v>Mr Suazo's Barbershop - Malden</x:v>
      </x:c>
      <x:c r="C275" s="8" t="str">
        <x:v>booking submitted</x:v>
      </x:c>
      <x:c r="D275" s="29" t="b">
        <x:v>0</x:v>
      </x:c>
    </x:row>
    <x:row r="276" ht="38" customHeight="1">
      <x:c r="A276" s="13" t="str">
        <x:v>beauty_02</x:v>
      </x:c>
      <x:c r="B276" s="13" t="str">
        <x:v>Mr Suazo's Barbershop - Malden</x:v>
      </x:c>
      <x:c r="C276" s="13" t="str">
        <x:v>inventory api assessed</x:v>
      </x:c>
      <x:c r="D276" s="13" t="str">
        <x:v>NO</x:v>
      </x:c>
    </x:row>
    <x:row r="277" ht="38" customHeight="1">
      <x:c r="A277" s="8" t="str">
        <x:v>beauty_02</x:v>
      </x:c>
      <x:c r="B277" s="8" t="str">
        <x:v>Mr Suazo's Barbershop - Malden</x:v>
      </x:c>
      <x:c r="C277" s="8" t="str">
        <x:v>price currency</x:v>
      </x:c>
      <x:c r="D277" s="8" t="str">
        <x:v>USD</x:v>
      </x:c>
    </x:row>
    <x:row r="278" ht="38" customHeight="1">
      <x:c r="A278" s="13" t="str">
        <x:v>beauty_02</x:v>
      </x:c>
      <x:c r="B278" s="13" t="str">
        <x:v>Mr Suazo's Barbershop - Malden</x:v>
      </x:c>
      <x:c r="C278" s="13" t="str">
        <x:v>location</x:v>
      </x:c>
      <x:c r="D278" s="13" t="str">
        <x:v>428 Main St., Malden, MA 02148</x:v>
      </x:c>
    </x:row>
    <x:row r="279" ht="38" customHeight="1">
      <x:c r="A279" s="8" t="str">
        <x:v>beauty_02</x:v>
      </x:c>
      <x:c r="B279" s="8" t="str">
        <x:v>Mr Suazo's Barbershop - Malden</x:v>
      </x:c>
      <x:c r="C279" s="8" t="str">
        <x:v>platform</x:v>
      </x:c>
      <x:c r="D279" s="8" t="str">
        <x:v>SQUIRE</x:v>
      </x:c>
    </x:row>
    <x:row r="280" ht="38" customHeight="1">
      <x:c r="A280" s="13" t="str">
        <x:v>beauty_02</x:v>
      </x:c>
      <x:c r="B280" s="13" t="str">
        <x:v>Mr Suazo's Barbershop - Malden</x:v>
      </x:c>
      <x:c r="C280" s="13" t="str">
        <x:v>scenario</x:v>
      </x:c>
      <x:c r="D280" s="13" t="str">
        <x:v>One adult regular haircut; any professional; October 6-10, 2026</x:v>
      </x:c>
    </x:row>
    <x:row r="281" ht="38" customHeight="1">
      <x:c r="A281" s="8" t="str">
        <x:v>beauty_02</x:v>
      </x:c>
      <x:c r="B281" s="8" t="str">
        <x:v>Mr Suazo's Barbershop - Malden</x:v>
      </x:c>
      <x:c r="C281" s="8" t="str">
        <x:v>entry url</x:v>
      </x:c>
      <x:c r="D281" s="8" t="str">
        <x:v>https://mrsuazosbarbershop.com/</x:v>
      </x:c>
    </x:row>
    <x:row r="282" ht="38" customHeight="1">
      <x:c r="A282" s="13" t="str">
        <x:v>beauty_02</x:v>
      </x:c>
      <x:c r="B282" s="13" t="str">
        <x:v>Mr Suazo's Barbershop - Malden</x:v>
      </x:c>
      <x:c r="C282" s="13" t="str">
        <x:v>booking url</x:v>
      </x:c>
      <x:c r="D282" s="13" t="str">
        <x:v>https://getsquire.com/booking/brands/mr-suazos-barbershop</x:v>
      </x:c>
    </x:row>
    <x:row r="283" ht="38" customHeight="1">
      <x:c r="A283" s="8" t="str">
        <x:v>beauty_02</x:v>
      </x:c>
      <x:c r="B283" s="8" t="str">
        <x:v>Mr Suazo's Barbershop - Malden</x:v>
      </x:c>
      <x:c r="C283" s="8" t="str">
        <x:v>start utc</x:v>
      </x:c>
      <x:c r="D283" s="8" t="str">
        <x:v>UTC 2026-10-04T20:23:18.842Z</x:v>
      </x:c>
    </x:row>
    <x:row r="284" ht="38" customHeight="1">
      <x:c r="A284" s="13" t="str">
        <x:v>beauty_02</x:v>
      </x:c>
      <x:c r="B284" s="13" t="str">
        <x:v>Mr Suazo's Barbershop - Malden</x:v>
      </x:c>
      <x:c r="C284" s="13" t="str">
        <x:v>stop utc</x:v>
      </x:c>
      <x:c r="D284" s="13" t="str">
        <x:v>UTC 2026-10-04T20:24:53.428Z</x:v>
      </x:c>
    </x:row>
    <x:row r="285" ht="38" customHeight="1">
      <x:c r="A285" s="8" t="str">
        <x:v>beauty_02</x:v>
      </x:c>
      <x:c r="B285" s="8" t="str">
        <x:v>Mr Suazo's Barbershop - Malden</x:v>
      </x:c>
      <x:c r="C285" s="8" t="str">
        <x:v>elapsed seconds</x:v>
      </x:c>
      <x:c r="D285" s="8" t="n">
        <x:v>94.586</x:v>
      </x:c>
    </x:row>
    <x:row r="286" ht="38" customHeight="1">
      <x:c r="A286" s="13" t="str">
        <x:v>beauty_02</x:v>
      </x:c>
      <x:c r="B286" s="13" t="str">
        <x:v>Mr Suazo's Barbershop - Malden</x:v>
      </x:c>
      <x:c r="C286" s="13" t="str">
        <x:v>timing caveat</x:v>
      </x:c>
      <x:c r="D286" s="13" t="str">
        <x:v>Includes one failed exact-text locator, corrected from fresh DOM; browser/tool delays and observer decision time. Excludes pre-entry discovery and post-stop screenshots.</x:v>
      </x:c>
    </x:row>
    <x:row r="287" ht="38" customHeight="1">
      <x:c r="A287" s="8" t="str">
        <x:v>beauty_02</x:v>
      </x:c>
      <x:c r="B287" s="8" t="str">
        <x:v>Mr Suazo's Barbershop - Malden</x:v>
      </x:c>
      <x:c r="C287" s="8" t="str">
        <x:v>service</x:v>
      </x:c>
      <x:c r="D287" s="8" t="str">
        <x:v>Regular Haircut</x:v>
      </x:c>
    </x:row>
    <x:row r="288" ht="38" customHeight="1">
      <x:c r="A288" s="13" t="str">
        <x:v>beauty_02</x:v>
      </x:c>
      <x:c r="B288" s="13" t="str">
        <x:v>Mr Suazo's Barbershop - Malden</x:v>
      </x:c>
      <x:c r="C288" s="13" t="str">
        <x:v>price</x:v>
      </x:c>
      <x:c r="D288" s="13" t="n">
        <x:v>40</x:v>
      </x:c>
    </x:row>
    <x:row r="289" ht="38" customHeight="1">
      <x:c r="A289" s="8" t="str">
        <x:v>beauty_02</x:v>
      </x:c>
      <x:c r="B289" s="8" t="str">
        <x:v>Mr Suazo's Barbershop - Malden</x:v>
      </x:c>
      <x:c r="C289" s="8" t="str">
        <x:v>price qualifier</x:v>
      </x:c>
      <x:c r="D289" s="8" t="str">
        <x:v>Visible menu and subtotal; not final transaction total</x:v>
      </x:c>
    </x:row>
    <x:row r="290" ht="38" customHeight="1">
      <x:c r="A290" s="13" t="str">
        <x:v>beauty_02</x:v>
      </x:c>
      <x:c r="B290" s="13" t="str">
        <x:v>Mr Suazo's Barbershop - Malden</x:v>
      </x:c>
      <x:c r="C290" s="13" t="str">
        <x:v>duration minutes</x:v>
      </x:c>
      <x:c r="D290" s="13" t="n">
        <x:v>30</x:v>
      </x:c>
    </x:row>
    <x:row r="291" ht="38" customHeight="1">
      <x:c r="A291" s="8" t="str">
        <x:v>beauty_02</x:v>
      </x:c>
      <x:c r="B291" s="8" t="str">
        <x:v>Mr Suazo's Barbershop - Malden</x:v>
      </x:c>
      <x:c r="C291" s="8" t="str">
        <x:v>observed date</x:v>
      </x:c>
      <x:c r="D291" s="8" t="str">
        <x:v>2026-10-06</x:v>
      </x:c>
    </x:row>
    <x:row r="292" ht="38" customHeight="1">
      <x:c r="A292" s="13" t="str">
        <x:v>beauty_02</x:v>
      </x:c>
      <x:c r="B292" s="13" t="str">
        <x:v>Mr Suazo's Barbershop - Malden</x:v>
      </x:c>
      <x:c r="C292" s="13" t="str">
        <x:v>slot count</x:v>
      </x:c>
      <x:c r="D292" s="13" t="n">
        <x:v>39</x:v>
      </x:c>
    </x:row>
    <x:row r="293" ht="38" customHeight="1">
      <x:c r="A293" s="8" t="str">
        <x:v>beauty_02</x:v>
      </x:c>
      <x:c r="B293" s="8" t="str">
        <x:v>Mr Suazo's Barbershop - Malden</x:v>
      </x:c>
      <x:c r="C293" s="8" t="str">
        <x:v>slot examples</x:v>
      </x:c>
      <x:c r="D293" s="8" t="str">
        <x:v>09:00, 09:30, 10:00, 10:30, 11:00 then every 15 minutes through 19:30</x:v>
      </x:c>
    </x:row>
    <x:row r="294" ht="38" customHeight="1">
      <x:c r="A294" s="13" t="str">
        <x:v>beauty_02</x:v>
      </x:c>
      <x:c r="B294" s="13" t="str">
        <x:v>Mr Suazo's Barbershop - Malden</x:v>
      </x:c>
      <x:c r="C294" s="13" t="str">
        <x:v>slot timezone evidence</x:v>
      </x:c>
      <x:c r="D294" s="13" t="str">
        <x:v>Scenario/local Boston time assumed; no visible timezone label in captured endpoint</x:v>
      </x:c>
    </x:row>
    <x:row r="295" ht="38" customHeight="1">
      <x:c r="A295" s="8" t="str">
        <x:v>beauty_02</x:v>
      </x:c>
      <x:c r="B295" s="8" t="str">
        <x:v>Mr Suazo's Barbershop - Malden</x:v>
      </x:c>
      <x:c r="C295" s="8" t="str">
        <x:v>sequence</x:v>
      </x:c>
      <x:c r="D295" s="8" t="str">
        <x:v>Official site &gt; linked SQUIRE brand chooser &gt; deny optional cookies &gt; Malden &gt; any professional/service first &gt; Regular Haircut &gt; View Order &gt; Choose a time &gt; Oct 6</x:v>
      </x:c>
    </x:row>
    <x:row r="296" ht="38" customHeight="1">
      <x:c r="A296" s="13" t="str">
        <x:v>beauty_02</x:v>
      </x:c>
      <x:c r="B296" s="13" t="str">
        <x:v>Mr Suazo's Barbershop - Malden</x:v>
      </x:c>
      <x:c r="C296" s="13" t="str">
        <x:v>endpoint</x:v>
      </x:c>
      <x:c r="D296" s="13" t="str">
        <x:v>Stopped at public date/time inventory without clicking a slot</x:v>
      </x:c>
    </x:row>
    <x:row r="297" ht="38" customHeight="1">
      <x:c r="A297" s="8" t="str">
        <x:v>beauty_02</x:v>
      </x:c>
      <x:c r="B297" s="8" t="str">
        <x:v>Mr Suazo's Barbershop - Malden</x:v>
      </x:c>
      <x:c r="C297" s="8" t="str">
        <x:v>stop classification</x:v>
      </x:c>
      <x:c r="D297" s="8" t="str">
        <x:v>precommit_boundary</x:v>
      </x:c>
    </x:row>
    <x:row r="298" ht="38" customHeight="1">
      <x:c r="A298" s="13" t="str">
        <x:v>beauty_02</x:v>
      </x:c>
      <x:c r="B298" s="13" t="str">
        <x:v>Mr Suazo's Barbershop - Malden</x:v>
      </x:c>
      <x:c r="C298" s="13" t="str">
        <x:v>gates</x:v>
      </x:c>
      <x:c r="D298" s="13" t="str">
        <x:v>Brand/location selection; professional choice; service menu; order panel; date selection; deeper confirmation untested</x:v>
      </x:c>
    </x:row>
    <x:row r="299" ht="38" customHeight="1">
      <x:c r="A299" s="8" t="str">
        <x:v>beauty_02</x:v>
      </x:c>
      <x:c r="B299" s="8" t="str">
        <x:v>Mr Suazo's Barbershop - Malden</x:v>
      </x:c>
      <x:c r="C299" s="8" t="str">
        <x:v>scenario deviation</x:v>
      </x:c>
      <x:c r="D299" s="8" t="str">
        <x:v>No service deviation. One provider selection locator failed because accessible text combined separate DOM labels. Dynamic cart/session query omitted from output links.</x:v>
      </x:c>
    </x:row>
    <x:row r="300" ht="38" customHeight="1">
      <x:c r="A300" s="13" t="str">
        <x:v>beauty_02</x:v>
      </x:c>
      <x:c r="B300" s="13" t="str">
        <x:v>Mr Suazo's Barbershop - Malden</x:v>
      </x:c>
      <x:c r="C300" s="13" t="str">
        <x:v>returning customer evidence</x:v>
      </x:c>
      <x:c r="D300" s="13" t="str">
        <x:v>Not inspected</x:v>
      </x:c>
    </x:row>
    <x:row r="301" ht="38" customHeight="1">
      <x:c r="A301" s="8" t="str">
        <x:v>beauty_02</x:v>
      </x:c>
      <x:c r="B301" s="8" t="str">
        <x:v>Mr Suazo's Barbershop - Malden</x:v>
      </x:c>
      <x:c r="C301" s="8" t="str">
        <x:v>evidence notes</x:v>
      </x:c>
      <x:c r="D301" s="8" t="str">
        <x:v>DOM reports 39 times after selecting Oct 6. Calendar day button incorrectly labels 1 time available while detail says 39. View Order AX label says $4,000 while rendered subtotal and service say $40. Use rendered $40.</x:v>
      </x:c>
    </x:row>
    <x:row r="302" ht="38" customHeight="1">
      <x:c r="A302" s="13" t="str">
        <x:v>beauty_02</x:v>
      </x:c>
      <x:c r="B302" s="13" t="str">
        <x:v>Mr Suazo's Barbershop - Malden</x:v>
      </x:c>
      <x:c r="C302" s="13" t="str">
        <x:v>observed software label</x:v>
      </x:c>
      <x:c r="D302" s="13" t="str">
        <x:v>SQUIRE</x:v>
      </x:c>
    </x:row>
    <x:row r="303" ht="38" customHeight="1">
      <x:c r="A303" s="8" t="str">
        <x:v>beauty_02</x:v>
      </x:c>
      <x:c r="B303" s="8" t="str">
        <x:v>Mr Suazo's Barbershop - Malden</x:v>
      </x:c>
      <x:c r="C303" s="8" t="str">
        <x:v>software evidence</x:v>
      </x:c>
      <x:c r="D303" s="8" t="str">
        <x:v>SQUIRE page title and official site booking attribution</x:v>
      </x:c>
    </x:row>
    <x:row r="304" ht="38" customHeight="1">
      <x:c r="A304" s="13" t="str">
        <x:v>beauty_02</x:v>
      </x:c>
      <x:c r="B304" s="13" t="str">
        <x:v>Mr Suazo's Barbershop - Malden</x:v>
      </x:c>
      <x:c r="C304" s="13" t="str">
        <x:v>observed booking platform</x:v>
      </x:c>
      <x:c r="D304" s="13" t="str">
        <x:v>SQUIRE</x:v>
      </x:c>
    </x:row>
    <x:row r="305" ht="38" customHeight="1">
      <x:c r="A305" s="8" t="str">
        <x:v>beauty_02</x:v>
      </x:c>
      <x:c r="B305" s="8" t="str">
        <x:v>Mr Suazo's Barbershop - Malden</x:v>
      </x:c>
      <x:c r="C305" s="8" t="str">
        <x:v>localization assessment</x:v>
      </x:c>
      <x:c r="D305" s="8" t="str">
        <x:v>Malden selected at SQUIRE brand chooser,428MainSt. Provider-specific price/time options. Local timezone assumed, not explicitly displayed.</x:v>
      </x:c>
    </x:row>
    <x:row r="306" ht="38" customHeight="1">
      <x:c r="A306" s="13" t="str">
        <x:v>beauty_02</x:v>
      </x:c>
      <x:c r="B306" s="13" t="str">
        <x:v>Mr Suazo's Barbershop - Malden</x:v>
      </x:c>
      <x:c r="C306" s="13" t="str">
        <x:v>phone call required</x:v>
      </x:c>
      <x:c r="D306" s="13" t="str">
        <x:v>UNKNOWN</x:v>
      </x:c>
    </x:row>
    <x:row r="307" ht="38" customHeight="1">
      <x:c r="A307" s="8" t="str">
        <x:v>beauty_02</x:v>
      </x:c>
      <x:c r="B307" s="8" t="str">
        <x:v>Mr Suazo's Barbershop - Malden</x:v>
      </x:c>
      <x:c r="C307" s="8" t="str">
        <x:v>api access tested</x:v>
      </x:c>
      <x:c r="D307" s="29" t="b">
        <x:v>0</x:v>
      </x:c>
    </x:row>
    <x:row r="308" ht="38" customHeight="1">
      <x:c r="A308" s="13" t="str">
        <x:v>beauty_02</x:v>
      </x:c>
      <x:c r="B308" s="13" t="str">
        <x:v>Mr Suazo's Barbershop - Malden</x:v>
      </x:c>
      <x:c r="C308" s="13" t="str">
        <x:v>initial url</x:v>
      </x:c>
      <x:c r="D308" s="13" t="str">
        <x:v>https://mrsuazosbarbershop.com/</x:v>
      </x:c>
    </x:row>
    <x:row r="309" ht="38" customHeight="1">
      <x:c r="A309" s="8" t="str">
        <x:v>beauty_02</x:v>
      </x:c>
      <x:c r="B309" s="8" t="str">
        <x:v>Mr Suazo's Barbershop - Malden</x:v>
      </x:c>
      <x:c r="C309" s="8" t="str">
        <x:v>final safe url</x:v>
      </x:c>
      <x:c r="D309" s="8" t="str">
        <x:v>https://getsquire.com/booking/brands/mr-suazos-barbershop</x:v>
      </x:c>
    </x:row>
    <x:row r="310" ht="38" customHeight="1">
      <x:c r="A310" s="13" t="str">
        <x:v>beauty_02</x:v>
      </x:c>
      <x:c r="B310" s="13" t="str">
        <x:v>Mr Suazo's Barbershop - Malden</x:v>
      </x:c>
      <x:c r="C310" s="13" t="str">
        <x:v>final state normalized</x:v>
      </x:c>
      <x:c r="D310" s="13" t="str">
        <x:v>Stopped at public date/time inventory without clicking a slot</x:v>
      </x:c>
    </x:row>
    <x:row r="311" ht="38" customHeight="1">
      <x:c r="A311" s="8" t="str">
        <x:v>beauty_02</x:v>
      </x:c>
      <x:c r="B311" s="8" t="str">
        <x:v>Mr Suazo's Barbershop - Malden</x:v>
      </x:c>
      <x:c r="C311" s="8" t="str">
        <x:v>channels used</x:v>
      </x:c>
      <x:c r="D311" s="8" t="str">
        <x:v>public provider website
SQUIRE public web interface</x:v>
      </x:c>
    </x:row>
    <x:row r="312" ht="38" customHeight="1">
      <x:c r="A312" s="13" t="str">
        <x:v>beauty_02</x:v>
      </x:c>
      <x:c r="B312" s="13" t="str">
        <x:v>Mr Suazo's Barbershop - Malden</x:v>
      </x:c>
      <x:c r="C312" s="13" t="str">
        <x:v>rail effect hypothesis</x:v>
      </x:c>
      <x:c r="D312" s="13" t="str">
        <x:v>Remove brand/location/service/order-panel traversal and avoid inconsistent accessibility labels. Preserve staff-specific availability, authorization and confirmation checks.</x:v>
      </x:c>
    </x:row>
    <x:row r="313" ht="38" customHeight="1">
      <x:c r="A313" s="8" t="str">
        <x:v>beauty_02</x:v>
      </x:c>
      <x:c r="B313" s="8" t="str">
        <x:v>Mr Suazo's Barbershop - Malden</x:v>
      </x:c>
      <x:c r="C313" s="8" t="str">
        <x:v>price visibility code</x:v>
      </x:c>
      <x:c r="D313" s="8" t="str">
        <x:v>service_menu_price</x:v>
      </x:c>
    </x:row>
    <x:row r="314" ht="38" customHeight="1">
      <x:c r="A314" s="13" t="str">
        <x:v>beauty_02</x:v>
      </x:c>
      <x:c r="B314" s="13" t="str">
        <x:v>Mr Suazo's Barbershop - Malden</x:v>
      </x:c>
      <x:c r="C314" s="13" t="str">
        <x:v>date display code</x:v>
      </x:c>
      <x:c r="D314" s="13" t="str">
        <x:v>dated_time_choices</x:v>
      </x:c>
    </x:row>
    <x:row r="315" ht="34" customHeight="1">
      <x:c r="A315" s="8" t="str">
        <x:v>beauty_03</x:v>
      </x:c>
      <x:c r="B315" s="8" t="str">
        <x:v>Barbershop Deluxe</x:v>
      </x:c>
      <x:c r="C315" s="8" t="str">
        <x:v>inspection date</x:v>
      </x:c>
      <x:c r="D315" s="8" t="str">
        <x:v>2026-10-04</x:v>
      </x:c>
    </x:row>
    <x:row r="316" ht="34" customHeight="1">
      <x:c r="A316" s="13" t="str">
        <x:v>beauty_03</x:v>
      </x:c>
      <x:c r="B316" s="13" t="str">
        <x:v>Barbershop Deluxe</x:v>
      </x:c>
      <x:c r="C316" s="13" t="str">
        <x:v>market</x:v>
      </x:c>
      <x:c r="D316" s="13" t="str">
        <x:v>Boston metropolitan area, Massachusetts, US</x:v>
      </x:c>
    </x:row>
    <x:row r="317" ht="34" customHeight="1">
      <x:c r="A317" s="8" t="str">
        <x:v>beauty_03</x:v>
      </x:c>
      <x:c r="B317" s="8" t="str">
        <x:v>Barbershop Deluxe</x:v>
      </x:c>
      <x:c r="C317" s="8" t="str">
        <x:v>appointment window</x:v>
      </x:c>
      <x:c r="D317" s="8" t="str">
        <x:v>2026-10-06 through 2026-10-10</x:v>
      </x:c>
    </x:row>
    <x:row r="318" ht="34" customHeight="1">
      <x:c r="A318" s="13" t="str">
        <x:v>beauty_03</x:v>
      </x:c>
      <x:c r="B318" s="13" t="str">
        <x:v>Barbershop Deluxe</x:v>
      </x:c>
      <x:c r="C318" s="13" t="str">
        <x:v>scenario timezone</x:v>
      </x:c>
      <x:c r="D318" s="13" t="str">
        <x:v>America/New_York</x:v>
      </x:c>
    </x:row>
    <x:row r="319" ht="34" customHeight="1">
      <x:c r="A319" s="8" t="str">
        <x:v>beauty_03</x:v>
      </x:c>
      <x:c r="B319" s="8" t="str">
        <x:v>Barbershop Deluxe</x:v>
      </x:c>
      <x:c r="C319" s="8" t="str">
        <x:v>browser</x:v>
      </x:c>
      <x:c r="D319" s="8" t="str">
        <x:v>dot cloud browser, Chromium via CUA</x:v>
      </x:c>
    </x:row>
    <x:row r="320" ht="34" customHeight="1">
      <x:c r="A320" s="13" t="str">
        <x:v>beauty_03</x:v>
      </x:c>
      <x:c r="B320" s="13" t="str">
        <x:v>Barbershop Deluxe</x:v>
      </x:c>
      <x:c r="C320" s="13" t="str">
        <x:v>customer state</x:v>
      </x:c>
      <x:c r="D320" s="13" t="str">
        <x:v>Unauthenticated, no identity provided</x:v>
      </x:c>
    </x:row>
    <x:row r="321" ht="34" customHeight="1">
      <x:c r="A321" s="8" t="str">
        <x:v>beauty_03</x:v>
      </x:c>
      <x:c r="B321" s="8" t="str">
        <x:v>Barbershop Deluxe</x:v>
      </x:c>
      <x:c r="C321" s="8" t="str">
        <x:v>booking success</x:v>
      </x:c>
      <x:c r="D321" s="8" t="str">
        <x:v>UNKNOWN</x:v>
      </x:c>
    </x:row>
    <x:row r="322" ht="34" customHeight="1">
      <x:c r="A322" s="13" t="str">
        <x:v>beauty_03</x:v>
      </x:c>
      <x:c r="B322" s="13" t="str">
        <x:v>Barbershop Deluxe</x:v>
      </x:c>
      <x:c r="C322" s="13" t="str">
        <x:v>booking submitted</x:v>
      </x:c>
      <x:c r="D322" s="30" t="b">
        <x:v>0</x:v>
      </x:c>
    </x:row>
    <x:row r="323" ht="34" customHeight="1">
      <x:c r="A323" s="8" t="str">
        <x:v>beauty_03</x:v>
      </x:c>
      <x:c r="B323" s="8" t="str">
        <x:v>Barbershop Deluxe</x:v>
      </x:c>
      <x:c r="C323" s="8" t="str">
        <x:v>inventory api assessed</x:v>
      </x:c>
      <x:c r="D323" s="8" t="str">
        <x:v>NO</x:v>
      </x:c>
    </x:row>
    <x:row r="324" ht="34" customHeight="1">
      <x:c r="A324" s="13" t="str">
        <x:v>beauty_03</x:v>
      </x:c>
      <x:c r="B324" s="13" t="str">
        <x:v>Barbershop Deluxe</x:v>
      </x:c>
      <x:c r="C324" s="13" t="str">
        <x:v>price currency</x:v>
      </x:c>
      <x:c r="D324" s="13" t="str">
        <x:v>USD</x:v>
      </x:c>
    </x:row>
    <x:row r="325" ht="34" customHeight="1">
      <x:c r="A325" s="8" t="str">
        <x:v>beauty_03</x:v>
      </x:c>
      <x:c r="B325" s="8" t="str">
        <x:v>Barbershop Deluxe</x:v>
      </x:c>
      <x:c r="C325" s="8" t="str">
        <x:v>location</x:v>
      </x:c>
      <x:c r="D325" s="8" t="str">
        <x:v>288 Columbus Ave, Boston, MA 02116-5116</x:v>
      </x:c>
    </x:row>
    <x:row r="326" ht="34" customHeight="1">
      <x:c r="A326" s="13" t="str">
        <x:v>beauty_03</x:v>
      </x:c>
      <x:c r="B326" s="13" t="str">
        <x:v>Barbershop Deluxe</x:v>
      </x:c>
      <x:c r="C326" s="13" t="str">
        <x:v>platform</x:v>
      </x:c>
      <x:c r="D326" s="13" t="str">
        <x:v>Square Appointments</x:v>
      </x:c>
    </x:row>
    <x:row r="327" ht="34" customHeight="1">
      <x:c r="A327" s="8" t="str">
        <x:v>beauty_03</x:v>
      </x:c>
      <x:c r="B327" s="8" t="str">
        <x:v>Barbershop Deluxe</x:v>
      </x:c>
      <x:c r="C327" s="8" t="str">
        <x:v>scenario</x:v>
      </x:c>
      <x:c r="D327" s="8" t="str">
        <x:v>One adult haircut/fade; October 6-10, 2026</x:v>
      </x:c>
    </x:row>
    <x:row r="328" ht="34" customHeight="1">
      <x:c r="A328" s="13" t="str">
        <x:v>beauty_03</x:v>
      </x:c>
      <x:c r="B328" s="13" t="str">
        <x:v>Barbershop Deluxe</x:v>
      </x:c>
      <x:c r="C328" s="13" t="str">
        <x:v>entry url</x:v>
      </x:c>
      <x:c r="D328" s="13" t="str">
        <x:v>https://square.site/book/CNPZ1GBSHRYTH/barbershop-deluxe-boston-ma</x:v>
      </x:c>
    </x:row>
    <x:row r="329" ht="34" customHeight="1">
      <x:c r="A329" s="8" t="str">
        <x:v>beauty_03</x:v>
      </x:c>
      <x:c r="B329" s="8" t="str">
        <x:v>Barbershop Deluxe</x:v>
      </x:c>
      <x:c r="C329" s="8" t="str">
        <x:v>booking url</x:v>
      </x:c>
      <x:c r="D329" s="8" t="str">
        <x:v>https://book.squareup.com/appointments/i7lh3lz7nwocq7/location/CNPZ1GBSHRYTH/availability</x:v>
      </x:c>
    </x:row>
    <x:row r="330" ht="34" customHeight="1">
      <x:c r="A330" s="13" t="str">
        <x:v>beauty_03</x:v>
      </x:c>
      <x:c r="B330" s="13" t="str">
        <x:v>Barbershop Deluxe</x:v>
      </x:c>
      <x:c r="C330" s="13" t="str">
        <x:v>start utc</x:v>
      </x:c>
      <x:c r="D330" s="13" t="str">
        <x:v>UTC 2026-10-04T20:25:21.214Z</x:v>
      </x:c>
    </x:row>
    <x:row r="331" ht="34" customHeight="1">
      <x:c r="A331" s="8" t="str">
        <x:v>beauty_03</x:v>
      </x:c>
      <x:c r="B331" s="8" t="str">
        <x:v>Barbershop Deluxe</x:v>
      </x:c>
      <x:c r="C331" s="8" t="str">
        <x:v>stop utc</x:v>
      </x:c>
      <x:c r="D331" s="8" t="str">
        <x:v>UTC 2026-10-04T20:26:05.045Z</x:v>
      </x:c>
    </x:row>
    <x:row r="332" ht="34" customHeight="1">
      <x:c r="A332" s="13" t="str">
        <x:v>beauty_03</x:v>
      </x:c>
      <x:c r="B332" s="13" t="str">
        <x:v>Barbershop Deluxe</x:v>
      </x:c>
      <x:c r="C332" s="13" t="str">
        <x:v>elapsed seconds</x:v>
      </x:c>
      <x:c r="D332" s="13" t="n">
        <x:v>43.831</x:v>
      </x:c>
    </x:row>
    <x:row r="333" ht="38" customHeight="1">
      <x:c r="A333" s="8" t="str">
        <x:v>beauty_03</x:v>
      </x:c>
      <x:c r="B333" s="8" t="str">
        <x:v>Barbershop Deluxe</x:v>
      </x:c>
      <x:c r="C333" s="8" t="str">
        <x:v>timing caveat</x:v>
      </x:c>
      <x:c r="D333" s="8" t="str">
        <x:v>Includes browser/tool delays and observer decision time. Excludes pre-entry discovery and post-stop screenshot save.</x:v>
      </x:c>
    </x:row>
    <x:row r="334" ht="34" customHeight="1">
      <x:c r="A334" s="13" t="str">
        <x:v>beauty_03</x:v>
      </x:c>
      <x:c r="B334" s="13" t="str">
        <x:v>Barbershop Deluxe</x:v>
      </x:c>
      <x:c r="C334" s="13" t="str">
        <x:v>service</x:v>
      </x:c>
      <x:c r="D334" s="13" t="str">
        <x:v>named staff member/ Haircut or Fade</x:v>
      </x:c>
    </x:row>
    <x:row r="335" ht="34" customHeight="1">
      <x:c r="A335" s="8" t="str">
        <x:v>beauty_03</x:v>
      </x:c>
      <x:c r="B335" s="8" t="str">
        <x:v>Barbershop Deluxe</x:v>
      </x:c>
      <x:c r="C335" s="8" t="str">
        <x:v>price</x:v>
      </x:c>
      <x:c r="D335" s="8" t="n">
        <x:v>50</x:v>
      </x:c>
    </x:row>
    <x:row r="336" ht="34" customHeight="1">
      <x:c r="A336" s="13" t="str">
        <x:v>beauty_03</x:v>
      </x:c>
      <x:c r="B336" s="13" t="str">
        <x:v>Barbershop Deluxe</x:v>
      </x:c>
      <x:c r="C336" s="13" t="str">
        <x:v>price qualifier</x:v>
      </x:c>
      <x:c r="D336" s="13" t="str">
        <x:v>Visible service price; not final transaction total</x:v>
      </x:c>
    </x:row>
    <x:row r="337" ht="34" customHeight="1">
      <x:c r="A337" s="8" t="str">
        <x:v>beauty_03</x:v>
      </x:c>
      <x:c r="B337" s="8" t="str">
        <x:v>Barbershop Deluxe</x:v>
      </x:c>
      <x:c r="C337" s="8" t="str">
        <x:v>duration minutes</x:v>
      </x:c>
      <x:c r="D337" s="8" t="n">
        <x:v>45</x:v>
      </x:c>
    </x:row>
    <x:row r="338" ht="34" customHeight="1">
      <x:c r="A338" s="13" t="str">
        <x:v>beauty_03</x:v>
      </x:c>
      <x:c r="B338" s="13" t="str">
        <x:v>Barbershop Deluxe</x:v>
      </x:c>
      <x:c r="C338" s="13" t="str">
        <x:v>observed date</x:v>
      </x:c>
      <x:c r="D338" s="13" t="str">
        <x:v>2026-10-06</x:v>
      </x:c>
    </x:row>
    <x:row r="339" ht="34" customHeight="1">
      <x:c r="A339" s="8" t="str">
        <x:v>beauty_03</x:v>
      </x:c>
      <x:c r="B339" s="8" t="str">
        <x:v>Barbershop Deluxe</x:v>
      </x:c>
      <x:c r="C339" s="8" t="str">
        <x:v>slot count</x:v>
      </x:c>
      <x:c r="D339" s="8" t="n">
        <x:v>1</x:v>
      </x:c>
    </x:row>
    <x:row r="340" ht="34" customHeight="1">
      <x:c r="A340" s="13" t="str">
        <x:v>beauty_03</x:v>
      </x:c>
      <x:c r="B340" s="13" t="str">
        <x:v>Barbershop Deluxe</x:v>
      </x:c>
      <x:c r="C340" s="13" t="str">
        <x:v>slot examples</x:v>
      </x:c>
      <x:c r="D340" s="13" t="str">
        <x:v>15:15 only; morning and evening show No availability</x:v>
      </x:c>
    </x:row>
    <x:row r="341" ht="34" customHeight="1">
      <x:c r="A341" s="8" t="str">
        <x:v>beauty_03</x:v>
      </x:c>
      <x:c r="B341" s="8" t="str">
        <x:v>Barbershop Deluxe</x:v>
      </x:c>
      <x:c r="C341" s="8" t="str">
        <x:v>slot timezone evidence</x:v>
      </x:c>
      <x:c r="D341" s="8" t="str">
        <x:v>Page explicitly says Times are shown in EDT</x:v>
      </x:c>
    </x:row>
    <x:row r="342" ht="38" customHeight="1">
      <x:c r="A342" s="13" t="str">
        <x:v>beauty_03</x:v>
      </x:c>
      <x:c r="B342" s="13" t="str">
        <x:v>Barbershop Deluxe</x:v>
      </x:c>
      <x:c r="C342" s="13" t="str">
        <x:v>sequence</x:v>
      </x:c>
      <x:c r="D342" s="13" t="str">
        <x:v>Public Square provider page &gt; named staff member/ Haircut or Fade Book now &gt; service detail Add &gt; Next &gt; October 6</x:v>
      </x:c>
    </x:row>
    <x:row r="343" ht="34" customHeight="1">
      <x:c r="A343" s="8" t="str">
        <x:v>beauty_03</x:v>
      </x:c>
      <x:c r="B343" s="8" t="str">
        <x:v>Barbershop Deluxe</x:v>
      </x:c>
      <x:c r="C343" s="8" t="str">
        <x:v>endpoint</x:v>
      </x:c>
      <x:c r="D343" s="8" t="str">
        <x:v>Stopped at date/time inventory without clicking 3:15 PM or joining waitlist</x:v>
      </x:c>
    </x:row>
    <x:row r="344" ht="34" customHeight="1">
      <x:c r="A344" s="13" t="str">
        <x:v>beauty_03</x:v>
      </x:c>
      <x:c r="B344" s="13" t="str">
        <x:v>Barbershop Deluxe</x:v>
      </x:c>
      <x:c r="C344" s="13" t="str">
        <x:v>stop classification</x:v>
      </x:c>
      <x:c r="D344" s="13" t="str">
        <x:v>precommit_boundary</x:v>
      </x:c>
    </x:row>
    <x:row r="345" ht="38" customHeight="1">
      <x:c r="A345" s="8" t="str">
        <x:v>beauty_03</x:v>
      </x:c>
      <x:c r="B345" s="8" t="str">
        <x:v>Barbershop Deluxe</x:v>
      </x:c>
      <x:c r="C345" s="8" t="str">
        <x:v>gates</x:v>
      </x:c>
      <x:c r="D345" s="8" t="str">
        <x:v>Platform legacy-to-new redirect; service detail Add; upsell menu; date selection; deeper confirmation untested</x:v>
      </x:c>
    </x:row>
    <x:row r="346" ht="38" customHeight="1">
      <x:c r="A346" s="13" t="str">
        <x:v>beauty_03</x:v>
      </x:c>
      <x:c r="B346" s="13" t="str">
        <x:v>Barbershop Deluxe</x:v>
      </x:c>
      <x:c r="C346" s="13" t="str">
        <x:v>scenario deviation</x:v>
      </x:c>
      <x:c r="D346" s="13" t="str">
        <x:v>Service is staff-specific to named staff member, since this public menu offered named staff member services. No generic any-staff haircut route observed.</x:v>
      </x:c>
    </x:row>
    <x:row r="347" ht="34" customHeight="1">
      <x:c r="A347" s="8" t="str">
        <x:v>beauty_03</x:v>
      </x:c>
      <x:c r="B347" s="8" t="str">
        <x:v>Barbershop Deluxe</x:v>
      </x:c>
      <x:c r="C347" s="8" t="str">
        <x:v>returning customer evidence</x:v>
      </x:c>
      <x:c r="D347" s="8" t="str">
        <x:v>Not inspected</x:v>
      </x:c>
    </x:row>
    <x:row r="348" ht="38" customHeight="1">
      <x:c r="A348" s="13" t="str">
        <x:v>beauty_03</x:v>
      </x:c>
      <x:c r="B348" s="13" t="str">
        <x:v>Barbershop Deluxe</x:v>
      </x:c>
      <x:c r="C348" s="13" t="str">
        <x:v>evidence notes</x:v>
      </x:c>
      <x:c r="D348" s="13" t="str">
        <x:v>Oct6 selected checkbox, heading Tuesday Oct6 2026, 3:15 PM sole listed slot, EDT explicit. Join the waitlist offered but not clicked.</x:v>
      </x:c>
    </x:row>
    <x:row r="349" ht="34" customHeight="1">
      <x:c r="A349" s="8" t="str">
        <x:v>beauty_03</x:v>
      </x:c>
      <x:c r="B349" s="8" t="str">
        <x:v>Barbershop Deluxe</x:v>
      </x:c>
      <x:c r="C349" s="8" t="str">
        <x:v>observed software label</x:v>
      </x:c>
      <x:c r="D349" s="8" t="str">
        <x:v>Powered by Square</x:v>
      </x:c>
    </x:row>
    <x:row r="350" ht="34" customHeight="1">
      <x:c r="A350" s="13" t="str">
        <x:v>beauty_03</x:v>
      </x:c>
      <x:c r="B350" s="13" t="str">
        <x:v>Barbershop Deluxe</x:v>
      </x:c>
      <x:c r="C350" s="13" t="str">
        <x:v>software evidence</x:v>
      </x:c>
      <x:c r="D350" s="13" t="str">
        <x:v>Powered by Square shown on booking page</x:v>
      </x:c>
    </x:row>
    <x:row r="351" ht="34" customHeight="1">
      <x:c r="A351" s="8" t="str">
        <x:v>beauty_03</x:v>
      </x:c>
      <x:c r="B351" s="8" t="str">
        <x:v>Barbershop Deluxe</x:v>
      </x:c>
      <x:c r="C351" s="8" t="str">
        <x:v>observed booking platform</x:v>
      </x:c>
      <x:c r="D351" s="8" t="str">
        <x:v>Square Appointments</x:v>
      </x:c>
    </x:row>
    <x:row r="352" ht="38" customHeight="1">
      <x:c r="A352" s="13" t="str">
        <x:v>beauty_03</x:v>
      </x:c>
      <x:c r="B352" s="13" t="str">
        <x:v>Barbershop Deluxe</x:v>
      </x:c>
      <x:c r="C352" s="13" t="str">
        <x:v>localization assessment</x:v>
      </x:c>
      <x:c r="D352" s="13" t="str">
        <x:v>Square provider Barbershop Deluxe,288ColumbusAve Boston, named staff member-specific service. Explicit EDT on time-picker.</x:v>
      </x:c>
    </x:row>
    <x:row r="353" ht="34" customHeight="1">
      <x:c r="A353" s="8" t="str">
        <x:v>beauty_03</x:v>
      </x:c>
      <x:c r="B353" s="8" t="str">
        <x:v>Barbershop Deluxe</x:v>
      </x:c>
      <x:c r="C353" s="8" t="str">
        <x:v>phone call required</x:v>
      </x:c>
      <x:c r="D353" s="8" t="str">
        <x:v>UNKNOWN</x:v>
      </x:c>
    </x:row>
    <x:row r="354" ht="34" customHeight="1">
      <x:c r="A354" s="13" t="str">
        <x:v>beauty_03</x:v>
      </x:c>
      <x:c r="B354" s="13" t="str">
        <x:v>Barbershop Deluxe</x:v>
      </x:c>
      <x:c r="C354" s="13" t="str">
        <x:v>api access tested</x:v>
      </x:c>
      <x:c r="D354" s="30" t="b">
        <x:v>0</x:v>
      </x:c>
    </x:row>
    <x:row r="355" ht="34" customHeight="1">
      <x:c r="A355" s="8" t="str">
        <x:v>beauty_03</x:v>
      </x:c>
      <x:c r="B355" s="8" t="str">
        <x:v>Barbershop Deluxe</x:v>
      </x:c>
      <x:c r="C355" s="8" t="str">
        <x:v>initial url</x:v>
      </x:c>
      <x:c r="D355" s="8" t="str">
        <x:v>https://square.site/book/CNPZ1GBSHRYTH/barbershop-deluxe-boston-ma</x:v>
      </x:c>
    </x:row>
    <x:row r="356" ht="34" customHeight="1">
      <x:c r="A356" s="13" t="str">
        <x:v>beauty_03</x:v>
      </x:c>
      <x:c r="B356" s="13" t="str">
        <x:v>Barbershop Deluxe</x:v>
      </x:c>
      <x:c r="C356" s="13" t="str">
        <x:v>final safe url</x:v>
      </x:c>
      <x:c r="D356" s="13" t="str">
        <x:v>https://book.squareup.com/appointments/i7lh3lz7nwocq7/location/CNPZ1GBSHRYTH/availability</x:v>
      </x:c>
    </x:row>
    <x:row r="357" ht="34" customHeight="1">
      <x:c r="A357" s="8" t="str">
        <x:v>beauty_03</x:v>
      </x:c>
      <x:c r="B357" s="8" t="str">
        <x:v>Barbershop Deluxe</x:v>
      </x:c>
      <x:c r="C357" s="8" t="str">
        <x:v>final state normalized</x:v>
      </x:c>
      <x:c r="D357" s="8" t="str">
        <x:v>Stopped at date/time inventory without clicking 3:15 PM or joining waitlist</x:v>
      </x:c>
    </x:row>
    <x:row r="358" ht="38" customHeight="1">
      <x:c r="A358" s="13" t="str">
        <x:v>beauty_03</x:v>
      </x:c>
      <x:c r="B358" s="13" t="str">
        <x:v>Barbershop Deluxe</x:v>
      </x:c>
      <x:c r="C358" s="13" t="str">
        <x:v>channels used</x:v>
      </x:c>
      <x:c r="D358" s="13" t="str">
        <x:v>public provider website
Square Appointments public web interface</x:v>
      </x:c>
    </x:row>
    <x:row r="359" ht="38" customHeight="1">
      <x:c r="A359" s="8" t="str">
        <x:v>beauty_03</x:v>
      </x:c>
      <x:c r="B359" s="8" t="str">
        <x:v>Barbershop Deluxe</x:v>
      </x:c>
      <x:c r="C359" s="8" t="str">
        <x:v>rail effect hypothesis</x:v>
      </x:c>
      <x:c r="D359" s="8" t="str">
        <x:v>Normalize service and staff lookup with explicitly zoned time options. Do not treat a public Book button as proof of an authorized write API or reservation.</x:v>
      </x:c>
    </x:row>
    <x:row r="360" ht="34" customHeight="1">
      <x:c r="A360" s="13" t="str">
        <x:v>beauty_03</x:v>
      </x:c>
      <x:c r="B360" s="13" t="str">
        <x:v>Barbershop Deluxe</x:v>
      </x:c>
      <x:c r="C360" s="13" t="str">
        <x:v>price visibility code</x:v>
      </x:c>
      <x:c r="D360" s="13" t="str">
        <x:v>service_menu_price</x:v>
      </x:c>
    </x:row>
    <x:row r="361" ht="34" customHeight="1">
      <x:c r="A361" s="8" t="str">
        <x:v>beauty_03</x:v>
      </x:c>
      <x:c r="B361" s="8" t="str">
        <x:v>Barbershop Deluxe</x:v>
      </x:c>
      <x:c r="C361" s="8" t="str">
        <x:v>date display code</x:v>
      </x:c>
      <x:c r="D361" s="8" t="str">
        <x:v>dated_time_choices</x:v>
      </x:c>
    </x:row>
    <x:row r="362" ht="38" customHeight="1">
      <x:c r="A362" s="13" t="str">
        <x:v>extra_MBL_removed</x:v>
      </x:c>
      <x:c r="B362" s="13" t="str">
        <x:v>MBL Broad Street / Yordy SQUIRE discovery listing</x:v>
      </x:c>
      <x:c r="C362" s="13" t="str">
        <x:v>url</x:v>
      </x:c>
      <x:c r="D362" s="13" t="str">
        <x:v>https://getsquire.com/discover/barbershop/mbl-broad-street-boston/barber/yordy-5</x:v>
      </x:c>
    </x:row>
    <x:row r="363" ht="38" customHeight="1">
      <x:c r="A363" s="8" t="str">
        <x:v>extra_MBL_removed</x:v>
      </x:c>
      <x:c r="B363" s="8" t="str">
        <x:v>MBL Broad Street / Yordy SQUIRE discovery listing</x:v>
      </x:c>
      <x:c r="C363" s="8" t="str">
        <x:v>start utc</x:v>
      </x:c>
      <x:c r="D363" s="8" t="str">
        <x:v>UTC 2026-10-04T20:24:54.015Z</x:v>
      </x:c>
    </x:row>
    <x:row r="364" ht="38" customHeight="1">
      <x:c r="A364" s="13" t="str">
        <x:v>extra_MBL_removed</x:v>
      </x:c>
      <x:c r="B364" s="13" t="str">
        <x:v>MBL Broad Street / Yordy SQUIRE discovery listing</x:v>
      </x:c>
      <x:c r="C364" s="13" t="str">
        <x:v>stop utc</x:v>
      </x:c>
      <x:c r="D364" s="13" t="str">
        <x:v>UTC 2026-10-04T20:25:06.986Z</x:v>
      </x:c>
    </x:row>
    <x:row r="365" ht="38" customHeight="1">
      <x:c r="A365" s="8" t="str">
        <x:v>extra_MBL_removed</x:v>
      </x:c>
      <x:c r="B365" s="8" t="str">
        <x:v>MBL Broad Street / Yordy SQUIRE discovery listing</x:v>
      </x:c>
      <x:c r="C365" s="8" t="str">
        <x:v>elapsed seconds</x:v>
      </x:c>
      <x:c r="D365" s="8" t="n">
        <x:v>12.971</x:v>
      </x:c>
    </x:row>
    <x:row r="366" ht="38" customHeight="1">
      <x:c r="A366" s="13" t="str">
        <x:v>extra_MBL_removed</x:v>
      </x:c>
      <x:c r="B366" s="13" t="str">
        <x:v>MBL Broad Street / Yordy SQUIRE discovery listing</x:v>
      </x:c>
      <x:c r="C366" s="13" t="str">
        <x:v>result</x:v>
      </x:c>
      <x:c r="D366" s="13" t="str">
        <x:v>Gone. There's nothing here. This page has been permanently removed.</x:v>
      </x:c>
    </x:row>
    <x:row r="367" ht="38" customHeight="1">
      <x:c r="A367" s="8" t="str">
        <x:v>extra_MBL_removed</x:v>
      </x:c>
      <x:c r="B367" s="8" t="str">
        <x:v>MBL Broad Street / Yordy SQUIRE discovery listing</x:v>
      </x:c>
      <x:c r="C367" s="8" t="str">
        <x:v>note</x:v>
      </x:c>
      <x:c r="D367" s="8" t="str">
        <x:v>Search index supplied a stale public Book now listing. Browser verification failed at entry. Replaced with Barbershop Deluxe to preserve 3 beauty core observations. Retained here rather than silently discarded.</x:v>
      </x:c>
    </x:row>
    <x:row r="368" ht="38" customHeight="1">
      <x:c r="A368" s="13" t="str">
        <x:v>extra_MBL_removed</x:v>
      </x:c>
      <x:c r="B368" s="13" t="str">
        <x:v>MBL Broad Street / Yordy SQUIRE discovery listing</x:v>
      </x:c>
      <x:c r="C368" s="13" t="str">
        <x:v>booking success</x:v>
      </x:c>
      <x:c r="D368" s="13" t="str">
        <x:v>UNKNOWN</x:v>
      </x:c>
    </x:row>
    <x:row r="369" ht="38" customHeight="1">
      <x:c r="A369" s="8" t="str">
        <x:v>extra_MBL_removed</x:v>
      </x:c>
      <x:c r="B369" s="8" t="str">
        <x:v>MBL Broad Street / Yordy SQUIRE discovery listing</x:v>
      </x:c>
      <x:c r="C369" s="8" t="str">
        <x:v>booking submitted</x:v>
      </x:c>
      <x:c r="D369" s="29" t="b">
        <x:v>0</x:v>
      </x:c>
    </x:row>
    <x:row r="370" ht="34" customHeight="1">
      <x:c r="A370" s="13" t="str">
        <x:v>pet_01</x:v>
      </x:c>
      <x:c r="B370" s="13" t="str">
        <x:v>Petco Brighton</x:v>
      </x:c>
      <x:c r="C370" s="13" t="str">
        <x:v>inspection date</x:v>
      </x:c>
      <x:c r="D370" s="13" t="str">
        <x:v>2026-10-04</x:v>
      </x:c>
    </x:row>
    <x:row r="371" ht="34" customHeight="1">
      <x:c r="A371" s="8" t="str">
        <x:v>pet_01</x:v>
      </x:c>
      <x:c r="B371" s="8" t="str">
        <x:v>Petco Brighton</x:v>
      </x:c>
      <x:c r="C371" s="8" t="str">
        <x:v>market</x:v>
      </x:c>
      <x:c r="D371" s="8" t="str">
        <x:v>Boston metropolitan area, Massachusetts, US</x:v>
      </x:c>
    </x:row>
    <x:row r="372" ht="34" customHeight="1">
      <x:c r="A372" s="13" t="str">
        <x:v>pet_01</x:v>
      </x:c>
      <x:c r="B372" s="13" t="str">
        <x:v>Petco Brighton</x:v>
      </x:c>
      <x:c r="C372" s="13" t="str">
        <x:v>appointment window</x:v>
      </x:c>
      <x:c r="D372" s="13" t="str">
        <x:v>2026-10-06 through 2026-10-10</x:v>
      </x:c>
    </x:row>
    <x:row r="373" ht="34" customHeight="1">
      <x:c r="A373" s="8" t="str">
        <x:v>pet_01</x:v>
      </x:c>
      <x:c r="B373" s="8" t="str">
        <x:v>Petco Brighton</x:v>
      </x:c>
      <x:c r="C373" s="8" t="str">
        <x:v>scenario timezone</x:v>
      </x:c>
      <x:c r="D373" s="8" t="str">
        <x:v>America/New_York</x:v>
      </x:c>
    </x:row>
    <x:row r="374" ht="34" customHeight="1">
      <x:c r="A374" s="13" t="str">
        <x:v>pet_01</x:v>
      </x:c>
      <x:c r="B374" s="13" t="str">
        <x:v>Petco Brighton</x:v>
      </x:c>
      <x:c r="C374" s="13" t="str">
        <x:v>browser</x:v>
      </x:c>
      <x:c r="D374" s="13" t="str">
        <x:v>dot cloud browser, Chromium via CUA</x:v>
      </x:c>
    </x:row>
    <x:row r="375" ht="34" customHeight="1">
      <x:c r="A375" s="8" t="str">
        <x:v>pet_01</x:v>
      </x:c>
      <x:c r="B375" s="8" t="str">
        <x:v>Petco Brighton</x:v>
      </x:c>
      <x:c r="C375" s="8" t="str">
        <x:v>customer state</x:v>
      </x:c>
      <x:c r="D375" s="8" t="str">
        <x:v>Unauthenticated, no identity provided</x:v>
      </x:c>
    </x:row>
    <x:row r="376" ht="34" customHeight="1">
      <x:c r="A376" s="13" t="str">
        <x:v>pet_01</x:v>
      </x:c>
      <x:c r="B376" s="13" t="str">
        <x:v>Petco Brighton</x:v>
      </x:c>
      <x:c r="C376" s="13" t="str">
        <x:v>booking success</x:v>
      </x:c>
      <x:c r="D376" s="13" t="str">
        <x:v>UNKNOWN</x:v>
      </x:c>
    </x:row>
    <x:row r="377" ht="34" customHeight="1">
      <x:c r="A377" s="8" t="str">
        <x:v>pet_01</x:v>
      </x:c>
      <x:c r="B377" s="8" t="str">
        <x:v>Petco Brighton</x:v>
      </x:c>
      <x:c r="C377" s="8" t="str">
        <x:v>booking submitted</x:v>
      </x:c>
      <x:c r="D377" s="29" t="b">
        <x:v>0</x:v>
      </x:c>
    </x:row>
    <x:row r="378" ht="34" customHeight="1">
      <x:c r="A378" s="13" t="str">
        <x:v>pet_01</x:v>
      </x:c>
      <x:c r="B378" s="13" t="str">
        <x:v>Petco Brighton</x:v>
      </x:c>
      <x:c r="C378" s="13" t="str">
        <x:v>inventory api assessed</x:v>
      </x:c>
      <x:c r="D378" s="13" t="str">
        <x:v>NO</x:v>
      </x:c>
    </x:row>
    <x:row r="379" ht="34" customHeight="1">
      <x:c r="A379" s="8" t="str">
        <x:v>pet_01</x:v>
      </x:c>
      <x:c r="B379" s="8" t="str">
        <x:v>Petco Brighton</x:v>
      </x:c>
      <x:c r="C379" s="8" t="str">
        <x:v>price currency</x:v>
      </x:c>
      <x:c r="D379" s="8" t="str">
        <x:v>USD</x:v>
      </x:c>
    </x:row>
    <x:row r="380" ht="34" customHeight="1">
      <x:c r="A380" s="13" t="str">
        <x:v>pet_01</x:v>
      </x:c>
      <x:c r="B380" s="13" t="str">
        <x:v>Petco Brighton</x:v>
      </x:c>
      <x:c r="C380" s="13" t="str">
        <x:v>location</x:v>
      </x:c>
      <x:c r="D380" s="13" t="str">
        <x:v>304 Western Ave, Brighton, MA 02135, store 288</x:v>
      </x:c>
    </x:row>
    <x:row r="381" ht="34" customHeight="1">
      <x:c r="A381" s="8" t="str">
        <x:v>pet_01</x:v>
      </x:c>
      <x:c r="B381" s="8" t="str">
        <x:v>Petco Brighton</x:v>
      </x:c>
      <x:c r="C381" s="8" t="str">
        <x:v>platform</x:v>
      </x:c>
      <x:c r="D381" s="8" t="str">
        <x:v>Petco first-party booking</x:v>
      </x:c>
    </x:row>
    <x:row r="382" ht="34" customHeight="1">
      <x:c r="A382" s="13" t="str">
        <x:v>pet_01</x:v>
      </x:c>
      <x:c r="B382" s="13" t="str">
        <x:v>Petco Brighton</x:v>
      </x:c>
      <x:c r="C382" s="13" t="str">
        <x:v>scenario</x:v>
      </x:c>
      <x:c r="D382" s="13" t="str">
        <x:v>One dog grooming/bath and haircut appointment; October 6-10, 2026; breed/age/weight unspecified</x:v>
      </x:c>
    </x:row>
    <x:row r="383" ht="34" customHeight="1">
      <x:c r="A383" s="8" t="str">
        <x:v>pet_01</x:v>
      </x:c>
      <x:c r="B383" s="8" t="str">
        <x:v>Petco Brighton</x:v>
      </x:c>
      <x:c r="C383" s="8" t="str">
        <x:v>entry url</x:v>
      </x:c>
      <x:c r="D383" s="8" t="str">
        <x:v>https://stores.petco.com/ma/brighton/full-service-grooming-brighton-ma-288.html</x:v>
      </x:c>
    </x:row>
    <x:row r="384" ht="38" customHeight="1">
      <x:c r="A384" s="13" t="str">
        <x:v>pet_01</x:v>
      </x:c>
      <x:c r="B384" s="13" t="str">
        <x:v>Petco Brighton</x:v>
      </x:c>
      <x:c r="C384" s="13" t="str">
        <x:v>booking url</x:v>
      </x:c>
      <x:c r="D384" s="13" t="str">
        <x:v>https://www.petco.com/shop/PetcoServicesBookGrooming?catalogId=10051&amp;storeId=10151&amp;langId=-1&amp;store_number=288</x:v>
      </x:c>
    </x:row>
    <x:row r="385" ht="34" customHeight="1">
      <x:c r="A385" s="8" t="str">
        <x:v>pet_01</x:v>
      </x:c>
      <x:c r="B385" s="8" t="str">
        <x:v>Petco Brighton</x:v>
      </x:c>
      <x:c r="C385" s="8" t="str">
        <x:v>start utc</x:v>
      </x:c>
      <x:c r="D385" s="8" t="str">
        <x:v>UTC 2026-10-04T20:26:05.385Z</x:v>
      </x:c>
    </x:row>
    <x:row r="386" ht="34" customHeight="1">
      <x:c r="A386" s="13" t="str">
        <x:v>pet_01</x:v>
      </x:c>
      <x:c r="B386" s="13" t="str">
        <x:v>Petco Brighton</x:v>
      </x:c>
      <x:c r="C386" s="13" t="str">
        <x:v>stop utc</x:v>
      </x:c>
      <x:c r="D386" s="13" t="str">
        <x:v>UTC 2026-10-04T20:29:13.107Z</x:v>
      </x:c>
    </x:row>
    <x:row r="387" ht="34" customHeight="1">
      <x:c r="A387" s="8" t="str">
        <x:v>pet_01</x:v>
      </x:c>
      <x:c r="B387" s="8" t="str">
        <x:v>Petco Brighton</x:v>
      </x:c>
      <x:c r="C387" s="8" t="str">
        <x:v>elapsed seconds</x:v>
      </x:c>
      <x:c r="D387" s="8" t="n">
        <x:v>187.722</x:v>
      </x:c>
    </x:row>
    <x:row r="388" ht="51" customHeight="1">
      <x:c r="A388" s="13" t="str">
        <x:v>pet_01</x:v>
      </x:c>
      <x:c r="B388" s="13" t="str">
        <x:v>Petco Brighton</x:v>
      </x:c>
      <x:c r="C388" s="13" t="str">
        <x:v>timing caveat</x:v>
      </x:c>
      <x:c r="D388" s="13" t="str">
        <x:v>NOT directly comparable. Includes initial approval/security-check interruption, permission-context recovery and entire independent PetSmart observation (67.594s). Initial Book Now failure returned at 20:26:29 UTC, second precision. No precise first-block stop timer was logged.</x:v>
      </x:c>
    </x:row>
    <x:row r="389" ht="34" customHeight="1">
      <x:c r="A389" s="8" t="str">
        <x:v>pet_01</x:v>
      </x:c>
      <x:c r="B389" s="8" t="str">
        <x:v>Petco Brighton</x:v>
      </x:c>
      <x:c r="C389" s="8" t="str">
        <x:v>service</x:v>
      </x:c>
      <x:c r="D389" s="8" t="str">
        <x:v>Bath &amp; haircut (entry page only)</x:v>
      </x:c>
    </x:row>
    <x:row r="390" ht="34" customHeight="1">
      <x:c r="A390" s="13" t="str">
        <x:v>pet_01</x:v>
      </x:c>
      <x:c r="B390" s="13" t="str">
        <x:v>Petco Brighton</x:v>
      </x:c>
      <x:c r="C390" s="13" t="str">
        <x:v>price</x:v>
      </x:c>
      <x:c r="D390" s="13" t="n">
        <x:v>38</x:v>
      </x:c>
    </x:row>
    <x:row r="391" ht="34" customHeight="1">
      <x:c r="A391" s="8" t="str">
        <x:v>pet_01</x:v>
      </x:c>
      <x:c r="B391" s="8" t="str">
        <x:v>Petco Brighton</x:v>
      </x:c>
      <x:c r="C391" s="8" t="str">
        <x:v>price qualifier</x:v>
      </x:c>
      <x:c r="D391" s="8" t="str">
        <x:v>Starts at price on Brighton public page; no pet-specific quote</x:v>
      </x:c>
    </x:row>
    <x:row r="392" ht="34" customHeight="1">
      <x:c r="A392" s="13" t="str">
        <x:v>pet_01</x:v>
      </x:c>
      <x:c r="B392" s="13" t="str">
        <x:v>Petco Brighton</x:v>
      </x:c>
      <x:c r="C392" s="13" t="str">
        <x:v>duration minutes</x:v>
      </x:c>
      <x:c r="D392" s="13" t="str"/>
    </x:row>
    <x:row r="393" ht="34" customHeight="1">
      <x:c r="A393" s="8" t="str">
        <x:v>pet_01</x:v>
      </x:c>
      <x:c r="B393" s="8" t="str">
        <x:v>Petco Brighton</x:v>
      </x:c>
      <x:c r="C393" s="8" t="str">
        <x:v>observed date</x:v>
      </x:c>
      <x:c r="D393" s="8" t="str"/>
    </x:row>
    <x:row r="394" ht="34" customHeight="1">
      <x:c r="A394" s="13" t="str">
        <x:v>pet_01</x:v>
      </x:c>
      <x:c r="B394" s="13" t="str">
        <x:v>Petco Brighton</x:v>
      </x:c>
      <x:c r="C394" s="13" t="str">
        <x:v>slot count</x:v>
      </x:c>
      <x:c r="D394" s="13" t="str"/>
    </x:row>
    <x:row r="395" ht="34" customHeight="1">
      <x:c r="A395" s="8" t="str">
        <x:v>pet_01</x:v>
      </x:c>
      <x:c r="B395" s="8" t="str">
        <x:v>Petco Brighton</x:v>
      </x:c>
      <x:c r="C395" s="8" t="str">
        <x:v>slot examples</x:v>
      </x:c>
      <x:c r="D395" s="8" t="str">
        <x:v>Not observed</x:v>
      </x:c>
    </x:row>
    <x:row r="396" ht="34" customHeight="1">
      <x:c r="A396" s="13" t="str">
        <x:v>pet_01</x:v>
      </x:c>
      <x:c r="B396" s="13" t="str">
        <x:v>Petco Brighton</x:v>
      </x:c>
      <x:c r="C396" s="13" t="str">
        <x:v>slot timezone evidence</x:v>
      </x:c>
      <x:c r="D396" s="13" t="str">
        <x:v>No inventory reached</x:v>
      </x:c>
    </x:row>
    <x:row r="397" ht="38" customHeight="1">
      <x:c r="A397" s="8" t="str">
        <x:v>pet_01</x:v>
      </x:c>
      <x:c r="B397" s="8" t="str">
        <x:v>Petco Brighton</x:v>
      </x:c>
      <x:c r="C397" s="8" t="str">
        <x:v>sequence</x:v>
      </x:c>
      <x:c r="D397" s="8" t="str">
        <x:v>Brighton grooming page &gt; Book Now &gt; tool approval/security-check error &gt; independent work while awaiting recovery &gt; authorized read reveals DataDome verification</x:v>
      </x:c>
    </x:row>
    <x:row r="398" ht="34" customHeight="1">
      <x:c r="A398" s="13" t="str">
        <x:v>pet_01</x:v>
      </x:c>
      <x:c r="B398" s="13" t="str">
        <x:v>Petco Brighton</x:v>
      </x:c>
      <x:c r="C398" s="13" t="str">
        <x:v>endpoint</x:v>
      </x:c>
      <x:c r="D398" s="13" t="str">
        <x:v>DataDome Verification Required interactive slider puzzle</x:v>
      </x:c>
    </x:row>
    <x:row r="399" ht="34" customHeight="1">
      <x:c r="A399" s="8" t="str">
        <x:v>pet_01</x:v>
      </x:c>
      <x:c r="B399" s="8" t="str">
        <x:v>Petco Brighton</x:v>
      </x:c>
      <x:c r="C399" s="8" t="str">
        <x:v>stop classification</x:v>
      </x:c>
      <x:c r="D399" s="8" t="str">
        <x:v>site_verification_gate</x:v>
      </x:c>
    </x:row>
    <x:row r="400" ht="34" customHeight="1">
      <x:c r="A400" s="13" t="str">
        <x:v>pet_01</x:v>
      </x:c>
      <x:c r="B400" s="13" t="str">
        <x:v>Petco Brighton</x:v>
      </x:c>
      <x:c r="C400" s="13" t="str">
        <x:v>gates</x:v>
      </x:c>
      <x:c r="D400" s="13" t="str">
        <x:v>Tool approval/security check first; then site-served CAPTCHA describing unusual or automated activity</x:v>
      </x:c>
    </x:row>
    <x:row r="401" ht="38" customHeight="1">
      <x:c r="A401" s="8" t="str">
        <x:v>pet_01</x:v>
      </x:c>
      <x:c r="B401" s="8" t="str">
        <x:v>Petco Brighton</x:v>
      </x:c>
      <x:c r="C401" s="8" t="str">
        <x:v>scenario deviation</x:v>
      </x:c>
      <x:c r="D401" s="8" t="str">
        <x:v>No date, pet characteristics or service selected in booking app. Timing interleaved with PetSmart, so exclude from friction-speed comparison.</x:v>
      </x:c>
    </x:row>
    <x:row r="402" ht="34" customHeight="1">
      <x:c r="A402" s="13" t="str">
        <x:v>pet_01</x:v>
      </x:c>
      <x:c r="B402" s="13" t="str">
        <x:v>Petco Brighton</x:v>
      </x:c>
      <x:c r="C402" s="13" t="str">
        <x:v>returning customer evidence</x:v>
      </x:c>
      <x:c r="D402" s="13" t="str">
        <x:v>Manage Appointment public link visible on Brighton page; not opened</x:v>
      </x:c>
    </x:row>
    <x:row r="403" ht="51" customHeight="1">
      <x:c r="A403" s="8" t="str">
        <x:v>pet_01</x:v>
      </x:c>
      <x:c r="B403" s="8" t="str">
        <x:v>Petco Brighton</x:v>
      </x:c>
      <x:c r="C403" s="8" t="str">
        <x:v>evidence notes</x:v>
      </x:c>
      <x:c r="D403" s="8" t="str">
        <x:v>No CAPTCHA attempted. Initial tool error was an environment permission problem, not itself bot evidence. Later fresh page state explicitly identified DataDome CAPTCHA and automated activity. Do not infer unavailable inventory/API.</x:v>
      </x:c>
    </x:row>
    <x:row r="404" ht="34" customHeight="1">
      <x:c r="A404" s="13" t="str">
        <x:v>pet_01</x:v>
      </x:c>
      <x:c r="B404" s="13" t="str">
        <x:v>Petco Brighton</x:v>
      </x:c>
      <x:c r="C404" s="13" t="str">
        <x:v>observed software label</x:v>
      </x:c>
      <x:c r="D404" s="13" t="str">
        <x:v>Unknown backend; provider-branded web UI</x:v>
      </x:c>
    </x:row>
    <x:row r="405" ht="34" customHeight="1">
      <x:c r="A405" s="8" t="str">
        <x:v>pet_01</x:v>
      </x:c>
      <x:c r="B405" s="8" t="str">
        <x:v>Petco Brighton</x:v>
      </x:c>
      <x:c r="C405" s="8" t="str">
        <x:v>software evidence</x:v>
      </x:c>
      <x:c r="D405" s="8" t="str">
        <x:v>Petco branding and petco.com booking URL; no scheduling-vendor/backend identification reached</x:v>
      </x:c>
    </x:row>
    <x:row r="406" ht="34" customHeight="1">
      <x:c r="A406" s="13" t="str">
        <x:v>pet_01</x:v>
      </x:c>
      <x:c r="B406" s="13" t="str">
        <x:v>Petco Brighton</x:v>
      </x:c>
      <x:c r="C406" s="13" t="str">
        <x:v>localization assessment</x:v>
      </x:c>
      <x:c r="D406" s="13" t="str">
        <x:v>Brighton store288 page and outbound booking store_number=288; $38 is only starting price. No date/pet quote.</x:v>
      </x:c>
    </x:row>
    <x:row r="407" ht="34" customHeight="1">
      <x:c r="A407" s="8" t="str">
        <x:v>pet_01</x:v>
      </x:c>
      <x:c r="B407" s="8" t="str">
        <x:v>Petco Brighton</x:v>
      </x:c>
      <x:c r="C407" s="8" t="str">
        <x:v>phone call required</x:v>
      </x:c>
      <x:c r="D407" s="8" t="str">
        <x:v>UNKNOWN</x:v>
      </x:c>
    </x:row>
    <x:row r="408" ht="34" customHeight="1">
      <x:c r="A408" s="13" t="str">
        <x:v>pet_01</x:v>
      </x:c>
      <x:c r="B408" s="13" t="str">
        <x:v>Petco Brighton</x:v>
      </x:c>
      <x:c r="C408" s="13" t="str">
        <x:v>api access tested</x:v>
      </x:c>
      <x:c r="D408" s="30" t="b">
        <x:v>0</x:v>
      </x:c>
    </x:row>
    <x:row r="409" ht="34" customHeight="1">
      <x:c r="A409" s="8" t="str">
        <x:v>pet_01</x:v>
      </x:c>
      <x:c r="B409" s="8" t="str">
        <x:v>Petco Brighton</x:v>
      </x:c>
      <x:c r="C409" s="8" t="str">
        <x:v>initial url</x:v>
      </x:c>
      <x:c r="D409" s="8" t="str">
        <x:v>https://stores.petco.com/ma/brighton/full-service-grooming-brighton-ma-288.html</x:v>
      </x:c>
    </x:row>
    <x:row r="410" ht="38" customHeight="1">
      <x:c r="A410" s="13" t="str">
        <x:v>pet_01</x:v>
      </x:c>
      <x:c r="B410" s="13" t="str">
        <x:v>Petco Brighton</x:v>
      </x:c>
      <x:c r="C410" s="13" t="str">
        <x:v>final safe url</x:v>
      </x:c>
      <x:c r="D410" s="13" t="str">
        <x:v>https://www.petco.com/shop/PetcoServicesBookGrooming?catalogId=10051&amp;storeId=10151&amp;langId=-1&amp;store_number=288</x:v>
      </x:c>
    </x:row>
    <x:row r="411" ht="34" customHeight="1">
      <x:c r="A411" s="8" t="str">
        <x:v>pet_01</x:v>
      </x:c>
      <x:c r="B411" s="8" t="str">
        <x:v>Petco Brighton</x:v>
      </x:c>
      <x:c r="C411" s="8" t="str">
        <x:v>final state normalized</x:v>
      </x:c>
      <x:c r="D411" s="8" t="str">
        <x:v>DataDome Verification Required interactive slider puzzle</x:v>
      </x:c>
    </x:row>
    <x:row r="412" ht="38" customHeight="1">
      <x:c r="A412" s="13" t="str">
        <x:v>pet_01</x:v>
      </x:c>
      <x:c r="B412" s="13" t="str">
        <x:v>Petco Brighton</x:v>
      </x:c>
      <x:c r="C412" s="13" t="str">
        <x:v>channels used</x:v>
      </x:c>
      <x:c r="D412" s="13" t="str">
        <x:v>public provider website
provider-branded web interface</x:v>
      </x:c>
    </x:row>
    <x:row r="413" ht="38" customHeight="1">
      <x:c r="A413" s="8" t="str">
        <x:v>pet_01</x:v>
      </x:c>
      <x:c r="B413" s="8" t="str">
        <x:v>Petco Brighton</x:v>
      </x:c>
      <x:c r="C413" s="8" t="str">
        <x:v>rail effect hypothesis</x:v>
      </x:c>
      <x:c r="D413" s="8" t="str">
        <x:v>An authorized API might provide a supported alternative to browser verification. This test does not establish API availability or the right to bypass bot controls.</x:v>
      </x:c>
    </x:row>
    <x:row r="414" ht="34" customHeight="1">
      <x:c r="A414" s="13" t="str">
        <x:v>pet_01</x:v>
      </x:c>
      <x:c r="B414" s="13" t="str">
        <x:v>Petco Brighton</x:v>
      </x:c>
      <x:c r="C414" s="13" t="str">
        <x:v>price visibility code</x:v>
      </x:c>
      <x:c r="D414" s="13" t="str">
        <x:v>starting_price_only</x:v>
      </x:c>
    </x:row>
    <x:row r="415" ht="34" customHeight="1">
      <x:c r="A415" s="8" t="str">
        <x:v>pet_01</x:v>
      </x:c>
      <x:c r="B415" s="8" t="str">
        <x:v>Petco Brighton</x:v>
      </x:c>
      <x:c r="C415" s="8" t="str">
        <x:v>date display code</x:v>
      </x:c>
      <x:c r="D415" s="8" t="str">
        <x:v>no_usable_dated_time_choices_observed</x:v>
      </x:c>
    </x:row>
    <x:row r="416" ht="34" customHeight="1">
      <x:c r="A416" s="13" t="str">
        <x:v>pet_02</x:v>
      </x:c>
      <x:c r="B416" s="13" t="str">
        <x:v>PetSmart Cambridge</x:v>
      </x:c>
      <x:c r="C416" s="13" t="str">
        <x:v>inspection date</x:v>
      </x:c>
      <x:c r="D416" s="13" t="str">
        <x:v>2026-10-04</x:v>
      </x:c>
    </x:row>
    <x:row r="417" ht="34" customHeight="1">
      <x:c r="A417" s="8" t="str">
        <x:v>pet_02</x:v>
      </x:c>
      <x:c r="B417" s="8" t="str">
        <x:v>PetSmart Cambridge</x:v>
      </x:c>
      <x:c r="C417" s="8" t="str">
        <x:v>market</x:v>
      </x:c>
      <x:c r="D417" s="8" t="str">
        <x:v>Boston metropolitan area, Massachusetts, US</x:v>
      </x:c>
    </x:row>
    <x:row r="418" ht="34" customHeight="1">
      <x:c r="A418" s="13" t="str">
        <x:v>pet_02</x:v>
      </x:c>
      <x:c r="B418" s="13" t="str">
        <x:v>PetSmart Cambridge</x:v>
      </x:c>
      <x:c r="C418" s="13" t="str">
        <x:v>appointment window</x:v>
      </x:c>
      <x:c r="D418" s="13" t="str">
        <x:v>2026-10-06 through 2026-10-10</x:v>
      </x:c>
    </x:row>
    <x:row r="419" ht="34" customHeight="1">
      <x:c r="A419" s="8" t="str">
        <x:v>pet_02</x:v>
      </x:c>
      <x:c r="B419" s="8" t="str">
        <x:v>PetSmart Cambridge</x:v>
      </x:c>
      <x:c r="C419" s="8" t="str">
        <x:v>scenario timezone</x:v>
      </x:c>
      <x:c r="D419" s="8" t="str">
        <x:v>America/New_York</x:v>
      </x:c>
    </x:row>
    <x:row r="420" ht="34" customHeight="1">
      <x:c r="A420" s="13" t="str">
        <x:v>pet_02</x:v>
      </x:c>
      <x:c r="B420" s="13" t="str">
        <x:v>PetSmart Cambridge</x:v>
      </x:c>
      <x:c r="C420" s="13" t="str">
        <x:v>browser</x:v>
      </x:c>
      <x:c r="D420" s="13" t="str">
        <x:v>dot cloud browser, Chromium via CUA</x:v>
      </x:c>
    </x:row>
    <x:row r="421" ht="34" customHeight="1">
      <x:c r="A421" s="8" t="str">
        <x:v>pet_02</x:v>
      </x:c>
      <x:c r="B421" s="8" t="str">
        <x:v>PetSmart Cambridge</x:v>
      </x:c>
      <x:c r="C421" s="8" t="str">
        <x:v>customer state</x:v>
      </x:c>
      <x:c r="D421" s="8" t="str">
        <x:v>Unauthenticated, no identity provided</x:v>
      </x:c>
    </x:row>
    <x:row r="422" ht="34" customHeight="1">
      <x:c r="A422" s="13" t="str">
        <x:v>pet_02</x:v>
      </x:c>
      <x:c r="B422" s="13" t="str">
        <x:v>PetSmart Cambridge</x:v>
      </x:c>
      <x:c r="C422" s="13" t="str">
        <x:v>booking success</x:v>
      </x:c>
      <x:c r="D422" s="13" t="str">
        <x:v>UNKNOWN</x:v>
      </x:c>
    </x:row>
    <x:row r="423" ht="34" customHeight="1">
      <x:c r="A423" s="8" t="str">
        <x:v>pet_02</x:v>
      </x:c>
      <x:c r="B423" s="8" t="str">
        <x:v>PetSmart Cambridge</x:v>
      </x:c>
      <x:c r="C423" s="8" t="str">
        <x:v>booking submitted</x:v>
      </x:c>
      <x:c r="D423" s="29" t="b">
        <x:v>0</x:v>
      </x:c>
    </x:row>
    <x:row r="424" ht="34" customHeight="1">
      <x:c r="A424" s="13" t="str">
        <x:v>pet_02</x:v>
      </x:c>
      <x:c r="B424" s="13" t="str">
        <x:v>PetSmart Cambridge</x:v>
      </x:c>
      <x:c r="C424" s="13" t="str">
        <x:v>inventory api assessed</x:v>
      </x:c>
      <x:c r="D424" s="13" t="str">
        <x:v>NO</x:v>
      </x:c>
    </x:row>
    <x:row r="425" ht="34" customHeight="1">
      <x:c r="A425" s="8" t="str">
        <x:v>pet_02</x:v>
      </x:c>
      <x:c r="B425" s="8" t="str">
        <x:v>PetSmart Cambridge</x:v>
      </x:c>
      <x:c r="C425" s="8" t="str">
        <x:v>price currency</x:v>
      </x:c>
      <x:c r="D425" s="8" t="str">
        <x:v>USD</x:v>
      </x:c>
    </x:row>
    <x:row r="426" ht="34" customHeight="1">
      <x:c r="A426" s="13" t="str">
        <x:v>pet_02</x:v>
      </x:c>
      <x:c r="B426" s="13" t="str">
        <x:v>PetSmart Cambridge</x:v>
      </x:c>
      <x:c r="C426" s="13" t="str">
        <x:v>location</x:v>
      </x:c>
      <x:c r="D426" s="13" t="str">
        <x:v>160 Alewife Brook Parkway, Cambridge, MA 02138, store 1706</x:v>
      </x:c>
    </x:row>
    <x:row r="427" ht="34" customHeight="1">
      <x:c r="A427" s="8" t="str">
        <x:v>pet_02</x:v>
      </x:c>
      <x:c r="B427" s="8" t="str">
        <x:v>PetSmart Cambridge</x:v>
      </x:c>
      <x:c r="C427" s="8" t="str">
        <x:v>platform</x:v>
      </x:c>
      <x:c r="D427" s="8" t="str">
        <x:v>PetSmart first-party services</x:v>
      </x:c>
    </x:row>
    <x:row r="428" ht="34" customHeight="1">
      <x:c r="A428" s="13" t="str">
        <x:v>pet_02</x:v>
      </x:c>
      <x:c r="B428" s="13" t="str">
        <x:v>PetSmart Cambridge</x:v>
      </x:c>
      <x:c r="C428" s="13" t="str">
        <x:v>scenario</x:v>
      </x:c>
      <x:c r="D428" s="13" t="str">
        <x:v>One dog grooming/bath and full haircut appointment; October 6-10, 2026; breed/age/weight unspecified</x:v>
      </x:c>
    </x:row>
    <x:row r="429" ht="34" customHeight="1">
      <x:c r="A429" s="8" t="str">
        <x:v>pet_02</x:v>
      </x:c>
      <x:c r="B429" s="8" t="str">
        <x:v>PetSmart Cambridge</x:v>
      </x:c>
      <x:c r="C429" s="8" t="str">
        <x:v>entry url</x:v>
      </x:c>
      <x:c r="D429" s="8" t="str">
        <x:v>https://stores.petsmart.com/ma/cambridge/cambridge/grooming</x:v>
      </x:c>
    </x:row>
    <x:row r="430" ht="34" customHeight="1">
      <x:c r="A430" s="13" t="str">
        <x:v>pet_02</x:v>
      </x:c>
      <x:c r="B430" s="13" t="str">
        <x:v>PetSmart Cambridge</x:v>
      </x:c>
      <x:c r="C430" s="13" t="str">
        <x:v>booking url</x:v>
      </x:c>
      <x:c r="D430" s="13" t="str">
        <x:v>https://services.petsmart.com/grooming/booking</x:v>
      </x:c>
    </x:row>
    <x:row r="431" ht="34" customHeight="1">
      <x:c r="A431" s="8" t="str">
        <x:v>pet_02</x:v>
      </x:c>
      <x:c r="B431" s="8" t="str">
        <x:v>PetSmart Cambridge</x:v>
      </x:c>
      <x:c r="C431" s="8" t="str">
        <x:v>start utc</x:v>
      </x:c>
      <x:c r="D431" s="8" t="str">
        <x:v>UTC 2026-10-04T20:27:33.451Z</x:v>
      </x:c>
    </x:row>
    <x:row r="432" ht="34" customHeight="1">
      <x:c r="A432" s="13" t="str">
        <x:v>pet_02</x:v>
      </x:c>
      <x:c r="B432" s="13" t="str">
        <x:v>PetSmart Cambridge</x:v>
      </x:c>
      <x:c r="C432" s="13" t="str">
        <x:v>stop utc</x:v>
      </x:c>
      <x:c r="D432" s="13" t="str">
        <x:v>UTC 2026-10-04T20:28:41.045Z</x:v>
      </x:c>
    </x:row>
    <x:row r="433" ht="34" customHeight="1">
      <x:c r="A433" s="8" t="str">
        <x:v>pet_02</x:v>
      </x:c>
      <x:c r="B433" s="8" t="str">
        <x:v>PetSmart Cambridge</x:v>
      </x:c>
      <x:c r="C433" s="8" t="str">
        <x:v>elapsed seconds</x:v>
      </x:c>
      <x:c r="D433" s="8" t="n">
        <x:v>67.594</x:v>
      </x:c>
    </x:row>
    <x:row r="434" ht="38" customHeight="1">
      <x:c r="A434" s="13" t="str">
        <x:v>pet_02</x:v>
      </x:c>
      <x:c r="B434" s="13" t="str">
        <x:v>PetSmart Cambridge</x:v>
      </x:c>
      <x:c r="C434" s="13" t="str">
        <x:v>timing caveat</x:v>
      </x:c>
      <x:c r="D434" s="13" t="str">
        <x:v>Includes browser/tool delays, new-tab lookup and observer decision time. Excludes pre-entry discovery and post-stop screenshot save. Runs during Petco recovery pause.</x:v>
      </x:c>
    </x:row>
    <x:row r="435" ht="34" customHeight="1">
      <x:c r="A435" s="8" t="str">
        <x:v>pet_02</x:v>
      </x:c>
      <x:c r="B435" s="8" t="str">
        <x:v>PetSmart Cambridge</x:v>
      </x:c>
      <x:c r="C435" s="8" t="str">
        <x:v>service</x:v>
      </x:c>
      <x:c r="D435" s="8" t="str">
        <x:v>Bath &amp; Full Haircut</x:v>
      </x:c>
    </x:row>
    <x:row r="436" ht="34" customHeight="1">
      <x:c r="A436" s="13" t="str">
        <x:v>pet_02</x:v>
      </x:c>
      <x:c r="B436" s="13" t="str">
        <x:v>PetSmart Cambridge</x:v>
      </x:c>
      <x:c r="C436" s="13" t="str">
        <x:v>price</x:v>
      </x:c>
      <x:c r="D436" s="13" t="str"/>
    </x:row>
    <x:row r="437" ht="34" customHeight="1">
      <x:c r="A437" s="8" t="str">
        <x:v>pet_02</x:v>
      </x:c>
      <x:c r="B437" s="8" t="str">
        <x:v>PetSmart Cambridge</x:v>
      </x:c>
      <x:c r="C437" s="8" t="str">
        <x:v>price qualifier</x:v>
      </x:c>
      <x:c r="D437" s="8" t="str">
        <x:v>No quote observed. Landing page says Sign in to see estimated prices before your visit.</x:v>
      </x:c>
    </x:row>
    <x:row r="438" ht="34" customHeight="1">
      <x:c r="A438" s="13" t="str">
        <x:v>pet_02</x:v>
      </x:c>
      <x:c r="B438" s="13" t="str">
        <x:v>PetSmart Cambridge</x:v>
      </x:c>
      <x:c r="C438" s="13" t="str">
        <x:v>duration minutes</x:v>
      </x:c>
      <x:c r="D438" s="13" t="str"/>
    </x:row>
    <x:row r="439" ht="34" customHeight="1">
      <x:c r="A439" s="8" t="str">
        <x:v>pet_02</x:v>
      </x:c>
      <x:c r="B439" s="8" t="str">
        <x:v>PetSmart Cambridge</x:v>
      </x:c>
      <x:c r="C439" s="8" t="str">
        <x:v>observed date</x:v>
      </x:c>
      <x:c r="D439" s="8" t="str"/>
    </x:row>
    <x:row r="440" ht="34" customHeight="1">
      <x:c r="A440" s="13" t="str">
        <x:v>pet_02</x:v>
      </x:c>
      <x:c r="B440" s="13" t="str">
        <x:v>PetSmart Cambridge</x:v>
      </x:c>
      <x:c r="C440" s="13" t="str">
        <x:v>slot count</x:v>
      </x:c>
      <x:c r="D440" s="13" t="str"/>
    </x:row>
    <x:row r="441" ht="34" customHeight="1">
      <x:c r="A441" s="8" t="str">
        <x:v>pet_02</x:v>
      </x:c>
      <x:c r="B441" s="8" t="str">
        <x:v>PetSmart Cambridge</x:v>
      </x:c>
      <x:c r="C441" s="8" t="str">
        <x:v>slot examples</x:v>
      </x:c>
      <x:c r="D441" s="8" t="str">
        <x:v>Not observed</x:v>
      </x:c>
    </x:row>
    <x:row r="442" ht="34" customHeight="1">
      <x:c r="A442" s="13" t="str">
        <x:v>pet_02</x:v>
      </x:c>
      <x:c r="B442" s="13" t="str">
        <x:v>PetSmart Cambridge</x:v>
      </x:c>
      <x:c r="C442" s="13" t="str">
        <x:v>slot timezone evidence</x:v>
      </x:c>
      <x:c r="D442" s="13" t="str">
        <x:v>No inventory reached</x:v>
      </x:c>
    </x:row>
    <x:row r="443" ht="38" customHeight="1">
      <x:c r="A443" s="8" t="str">
        <x:v>pet_02</x:v>
      </x:c>
      <x:c r="B443" s="8" t="str">
        <x:v>PetSmart Cambridge</x:v>
      </x:c>
      <x:c r="C443" s="8" t="str">
        <x:v>sequence</x:v>
      </x:c>
      <x:c r="D443" s="8" t="str">
        <x:v>Cambridge location grooming page &gt; Book now (new services tab) &gt; Bath &amp; Full Haircut &gt; log in to complete booking</x:v>
      </x:c>
    </x:row>
    <x:row r="444" ht="34" customHeight="1">
      <x:c r="A444" s="13" t="str">
        <x:v>pet_02</x:v>
      </x:c>
      <x:c r="B444" s="13" t="str">
        <x:v>PetSmart Cambridge</x:v>
      </x:c>
      <x:c r="C444" s="13" t="str">
        <x:v>endpoint</x:v>
      </x:c>
      <x:c r="D444" s="13" t="str">
        <x:v>Login modal with returning customer and new-account routes</x:v>
      </x:c>
    </x:row>
    <x:row r="445" ht="34" customHeight="1">
      <x:c r="A445" s="8" t="str">
        <x:v>pet_02</x:v>
      </x:c>
      <x:c r="B445" s="8" t="str">
        <x:v>PetSmart Cambridge</x:v>
      </x:c>
      <x:c r="C445" s="8" t="str">
        <x:v>stop classification</x:v>
      </x:c>
      <x:c r="D445" s="8" t="str">
        <x:v>authentication_gate</x:v>
      </x:c>
    </x:row>
    <x:row r="446" ht="38" customHeight="1">
      <x:c r="A446" s="13" t="str">
        <x:v>pet_02</x:v>
      </x:c>
      <x:c r="B446" s="13" t="str">
        <x:v>PetSmart Cambridge</x:v>
      </x:c>
      <x:c r="C446" s="13" t="str">
        <x:v>gates</x:v>
      </x:c>
      <x:c r="D446" s="13" t="str">
        <x:v>Sign in for estimated prices; pet type/breed/age selectors visible on landing; login required when service chosen</x:v>
      </x:c>
    </x:row>
    <x:row r="447" ht="38" customHeight="1">
      <x:c r="A447" s="8" t="str">
        <x:v>pet_02</x:v>
      </x:c>
      <x:c r="B447" s="8" t="str">
        <x:v>PetSmart Cambridge</x:v>
      </x:c>
      <x:c r="C447" s="8" t="str">
        <x:v>scenario deviation</x:v>
      </x:c>
      <x:c r="D447" s="8" t="str">
        <x:v>No breed/age/weight provided in standard scenario; none invented. No date reached. No credentials or pet profile entered.</x:v>
      </x:c>
    </x:row>
    <x:row r="448" ht="38" customHeight="1">
      <x:c r="A448" s="13" t="str">
        <x:v>pet_02</x:v>
      </x:c>
      <x:c r="B448" s="13" t="str">
        <x:v>PetSmart Cambridge</x:v>
      </x:c>
      <x:c r="C448" s="13" t="str">
        <x:v>returning customer evidence</x:v>
      </x:c>
      <x:c r="D448" s="13" t="str">
        <x:v>Returning customers login; new customers or customers signed up in-store directed to create Treats Rewards account; social sign-in unsupported.</x:v>
      </x:c>
    </x:row>
    <x:row r="449" ht="38" customHeight="1">
      <x:c r="A449" s="8" t="str">
        <x:v>pet_02</x:v>
      </x:c>
      <x:c r="B449" s="8" t="str">
        <x:v>PetSmart Cambridge</x:v>
      </x:c>
      <x:c r="C449" s="8" t="str">
        <x:v>evidence notes</x:v>
      </x:c>
      <x:c r="D449" s="8" t="str">
        <x:v>The public service tile was clicked without entering pet details. It opened actual login-to-complete-booking modal. This is an observed authentication gate, not failed booking or zero slots.</x:v>
      </x:c>
    </x:row>
    <x:row r="450" ht="34" customHeight="1">
      <x:c r="A450" s="13" t="str">
        <x:v>pet_02</x:v>
      </x:c>
      <x:c r="B450" s="13" t="str">
        <x:v>PetSmart Cambridge</x:v>
      </x:c>
      <x:c r="C450" s="13" t="str">
        <x:v>observed software label</x:v>
      </x:c>
      <x:c r="D450" s="13" t="str">
        <x:v>Unknown backend; provider-branded web UI</x:v>
      </x:c>
    </x:row>
    <x:row r="451" ht="34" customHeight="1">
      <x:c r="A451" s="8" t="str">
        <x:v>pet_02</x:v>
      </x:c>
      <x:c r="B451" s="8" t="str">
        <x:v>PetSmart Cambridge</x:v>
      </x:c>
      <x:c r="C451" s="8" t="str">
        <x:v>software evidence</x:v>
      </x:c>
      <x:c r="D451" s="8" t="str">
        <x:v>PetSmart Services page branding; no scheduling-vendor/backend identification observed</x:v>
      </x:c>
    </x:row>
    <x:row r="452" ht="34" customHeight="1">
      <x:c r="A452" s="13" t="str">
        <x:v>pet_02</x:v>
      </x:c>
      <x:c r="B452" s="13" t="str">
        <x:v>PetSmart Cambridge</x:v>
      </x:c>
      <x:c r="C452" s="13" t="str">
        <x:v>localization assessment</x:v>
      </x:c>
      <x:c r="D452" s="13" t="str">
        <x:v>Cambridge store1706 selected in observed landing UI; no price/date after login gate.</x:v>
      </x:c>
    </x:row>
    <x:row r="453" ht="34" customHeight="1">
      <x:c r="A453" s="8" t="str">
        <x:v>pet_02</x:v>
      </x:c>
      <x:c r="B453" s="8" t="str">
        <x:v>PetSmart Cambridge</x:v>
      </x:c>
      <x:c r="C453" s="8" t="str">
        <x:v>phone call required</x:v>
      </x:c>
      <x:c r="D453" s="8" t="str">
        <x:v>UNKNOWN</x:v>
      </x:c>
    </x:row>
    <x:row r="454" ht="34" customHeight="1">
      <x:c r="A454" s="13" t="str">
        <x:v>pet_02</x:v>
      </x:c>
      <x:c r="B454" s="13" t="str">
        <x:v>PetSmart Cambridge</x:v>
      </x:c>
      <x:c r="C454" s="13" t="str">
        <x:v>api access tested</x:v>
      </x:c>
      <x:c r="D454" s="30" t="b">
        <x:v>0</x:v>
      </x:c>
    </x:row>
    <x:row r="455" ht="34" customHeight="1">
      <x:c r="A455" s="8" t="str">
        <x:v>pet_02</x:v>
      </x:c>
      <x:c r="B455" s="8" t="str">
        <x:v>PetSmart Cambridge</x:v>
      </x:c>
      <x:c r="C455" s="8" t="str">
        <x:v>initial url</x:v>
      </x:c>
      <x:c r="D455" s="8" t="str">
        <x:v>https://stores.petsmart.com/ma/cambridge/cambridge/grooming</x:v>
      </x:c>
    </x:row>
    <x:row r="456" ht="34" customHeight="1">
      <x:c r="A456" s="13" t="str">
        <x:v>pet_02</x:v>
      </x:c>
      <x:c r="B456" s="13" t="str">
        <x:v>PetSmart Cambridge</x:v>
      </x:c>
      <x:c r="C456" s="13" t="str">
        <x:v>final safe url</x:v>
      </x:c>
      <x:c r="D456" s="13" t="str">
        <x:v>https://services.petsmart.com/grooming/booking</x:v>
      </x:c>
    </x:row>
    <x:row r="457" ht="34" customHeight="1">
      <x:c r="A457" s="8" t="str">
        <x:v>pet_02</x:v>
      </x:c>
      <x:c r="B457" s="8" t="str">
        <x:v>PetSmart Cambridge</x:v>
      </x:c>
      <x:c r="C457" s="8" t="str">
        <x:v>final state normalized</x:v>
      </x:c>
      <x:c r="D457" s="8" t="str">
        <x:v>Login modal with returning customer and new-account routes</x:v>
      </x:c>
    </x:row>
    <x:row r="458" ht="38" customHeight="1">
      <x:c r="A458" s="13" t="str">
        <x:v>pet_02</x:v>
      </x:c>
      <x:c r="B458" s="13" t="str">
        <x:v>PetSmart Cambridge</x:v>
      </x:c>
      <x:c r="C458" s="13" t="str">
        <x:v>channels used</x:v>
      </x:c>
      <x:c r="D458" s="13" t="str">
        <x:v>public provider website
provider-branded web interface</x:v>
      </x:c>
    </x:row>
    <x:row r="459" ht="38" customHeight="1">
      <x:c r="A459" s="8" t="str">
        <x:v>pet_02</x:v>
      </x:c>
      <x:c r="B459" s="8" t="str">
        <x:v>PetSmart Cambridge</x:v>
      </x:c>
      <x:c r="C459" s="8" t="str">
        <x:v>rail effect hypothesis</x:v>
      </x:c>
      <x:c r="D459" s="8" t="str">
        <x:v>A delegated account connection could reuse a pet profile and expose authorized prices and slots. Authentication and required pet details remain real prerequisites.</x:v>
      </x:c>
    </x:row>
    <x:row r="460" ht="34" customHeight="1">
      <x:c r="A460" s="13" t="str">
        <x:v>pet_02</x:v>
      </x:c>
      <x:c r="B460" s="13" t="str">
        <x:v>PetSmart Cambridge</x:v>
      </x:c>
      <x:c r="C460" s="13" t="str">
        <x:v>price visibility code</x:v>
      </x:c>
      <x:c r="D460" s="13" t="str">
        <x:v>no_scenario_service_price_observed</x:v>
      </x:c>
    </x:row>
    <x:row r="461" ht="34" customHeight="1">
      <x:c r="A461" s="8" t="str">
        <x:v>pet_02</x:v>
      </x:c>
      <x:c r="B461" s="8" t="str">
        <x:v>PetSmart Cambridge</x:v>
      </x:c>
      <x:c r="C461" s="8" t="str">
        <x:v>date display code</x:v>
      </x:c>
      <x:c r="D461" s="8" t="str">
        <x:v>no_usable_dated_time_choices_observed</x:v>
      </x:c>
    </x:row>
    <x:row r="462" ht="34" customHeight="1">
      <x:c r="A462" s="13" t="str">
        <x:v>pet_03</x:v>
      </x:c>
      <x:c r="B462" s="13" t="str">
        <x:v>Onyva Boston</x:v>
      </x:c>
      <x:c r="C462" s="13" t="str">
        <x:v>inspection date</x:v>
      </x:c>
      <x:c r="D462" s="13" t="str">
        <x:v>2026-10-04</x:v>
      </x:c>
    </x:row>
    <x:row r="463" ht="34" customHeight="1">
      <x:c r="A463" s="8" t="str">
        <x:v>pet_03</x:v>
      </x:c>
      <x:c r="B463" s="8" t="str">
        <x:v>Onyva Boston</x:v>
      </x:c>
      <x:c r="C463" s="8" t="str">
        <x:v>market</x:v>
      </x:c>
      <x:c r="D463" s="8" t="str">
        <x:v>Boston metropolitan area, Massachusetts, US</x:v>
      </x:c>
    </x:row>
    <x:row r="464" ht="34" customHeight="1">
      <x:c r="A464" s="13" t="str">
        <x:v>pet_03</x:v>
      </x:c>
      <x:c r="B464" s="13" t="str">
        <x:v>Onyva Boston</x:v>
      </x:c>
      <x:c r="C464" s="13" t="str">
        <x:v>appointment window</x:v>
      </x:c>
      <x:c r="D464" s="13" t="str">
        <x:v>2026-10-06 through 2026-10-10</x:v>
      </x:c>
    </x:row>
    <x:row r="465" ht="34" customHeight="1">
      <x:c r="A465" s="8" t="str">
        <x:v>pet_03</x:v>
      </x:c>
      <x:c r="B465" s="8" t="str">
        <x:v>Onyva Boston</x:v>
      </x:c>
      <x:c r="C465" s="8" t="str">
        <x:v>scenario timezone</x:v>
      </x:c>
      <x:c r="D465" s="8" t="str">
        <x:v>America/New_York</x:v>
      </x:c>
    </x:row>
    <x:row r="466" ht="34" customHeight="1">
      <x:c r="A466" s="13" t="str">
        <x:v>pet_03</x:v>
      </x:c>
      <x:c r="B466" s="13" t="str">
        <x:v>Onyva Boston</x:v>
      </x:c>
      <x:c r="C466" s="13" t="str">
        <x:v>browser</x:v>
      </x:c>
      <x:c r="D466" s="13" t="str">
        <x:v>dot cloud browser, Chromium via CUA</x:v>
      </x:c>
    </x:row>
    <x:row r="467" ht="34" customHeight="1">
      <x:c r="A467" s="8" t="str">
        <x:v>pet_03</x:v>
      </x:c>
      <x:c r="B467" s="8" t="str">
        <x:v>Onyva Boston</x:v>
      </x:c>
      <x:c r="C467" s="8" t="str">
        <x:v>customer state</x:v>
      </x:c>
      <x:c r="D467" s="8" t="str">
        <x:v>Unauthenticated, no identity provided</x:v>
      </x:c>
    </x:row>
    <x:row r="468" ht="34" customHeight="1">
      <x:c r="A468" s="13" t="str">
        <x:v>pet_03</x:v>
      </x:c>
      <x:c r="B468" s="13" t="str">
        <x:v>Onyva Boston</x:v>
      </x:c>
      <x:c r="C468" s="13" t="str">
        <x:v>booking success</x:v>
      </x:c>
      <x:c r="D468" s="13" t="str">
        <x:v>UNKNOWN</x:v>
      </x:c>
    </x:row>
    <x:row r="469" ht="34" customHeight="1">
      <x:c r="A469" s="8" t="str">
        <x:v>pet_03</x:v>
      </x:c>
      <x:c r="B469" s="8" t="str">
        <x:v>Onyva Boston</x:v>
      </x:c>
      <x:c r="C469" s="8" t="str">
        <x:v>booking submitted</x:v>
      </x:c>
      <x:c r="D469" s="29" t="b">
        <x:v>0</x:v>
      </x:c>
    </x:row>
    <x:row r="470" ht="34" customHeight="1">
      <x:c r="A470" s="13" t="str">
        <x:v>pet_03</x:v>
      </x:c>
      <x:c r="B470" s="13" t="str">
        <x:v>Onyva Boston</x:v>
      </x:c>
      <x:c r="C470" s="13" t="str">
        <x:v>inventory api assessed</x:v>
      </x:c>
      <x:c r="D470" s="13" t="str">
        <x:v>NO</x:v>
      </x:c>
    </x:row>
    <x:row r="471" ht="34" customHeight="1">
      <x:c r="A471" s="8" t="str">
        <x:v>pet_03</x:v>
      </x:c>
      <x:c r="B471" s="8" t="str">
        <x:v>Onyva Boston</x:v>
      </x:c>
      <x:c r="C471" s="8" t="str">
        <x:v>price currency</x:v>
      </x:c>
      <x:c r="D471" s="8" t="str">
        <x:v>USD</x:v>
      </x:c>
    </x:row>
    <x:row r="472" ht="34" customHeight="1">
      <x:c r="A472" s="13" t="str">
        <x:v>pet_03</x:v>
      </x:c>
      <x:c r="B472" s="13" t="str">
        <x:v>Onyva Boston</x:v>
      </x:c>
      <x:c r="C472" s="13" t="str">
        <x:v>location</x:v>
      </x:c>
      <x:c r="D472" s="13" t="str">
        <x:v>171 Newbury Street, Boston, MA 02116</x:v>
      </x:c>
    </x:row>
    <x:row r="473" ht="34" customHeight="1">
      <x:c r="A473" s="8" t="str">
        <x:v>pet_03</x:v>
      </x:c>
      <x:c r="B473" s="8" t="str">
        <x:v>Onyva Boston</x:v>
      </x:c>
      <x:c r="C473" s="8" t="str">
        <x:v>platform</x:v>
      </x:c>
      <x:c r="D473" s="8" t="str">
        <x:v>Onyva first-party web app</x:v>
      </x:c>
    </x:row>
    <x:row r="474" ht="34" customHeight="1">
      <x:c r="A474" s="13" t="str">
        <x:v>pet_03</x:v>
      </x:c>
      <x:c r="B474" s="13" t="str">
        <x:v>Onyva Boston</x:v>
      </x:c>
      <x:c r="C474" s="13" t="str">
        <x:v>scenario</x:v>
      </x:c>
      <x:c r="D474" s="13" t="str">
        <x:v>One dog grooming appointment; October 6-10, 2026; breed/age/weight unspecified</x:v>
      </x:c>
    </x:row>
    <x:row r="475" ht="34" customHeight="1">
      <x:c r="A475" s="8" t="str">
        <x:v>pet_03</x:v>
      </x:c>
      <x:c r="B475" s="8" t="str">
        <x:v>Onyva Boston</x:v>
      </x:c>
      <x:c r="C475" s="8" t="str">
        <x:v>entry url</x:v>
      </x:c>
      <x:c r="D475" s="8" t="str">
        <x:v>https://boston.onyvadogspa.com/</x:v>
      </x:c>
    </x:row>
    <x:row r="476" ht="34" customHeight="1">
      <x:c r="A476" s="13" t="str">
        <x:v>pet_03</x:v>
      </x:c>
      <x:c r="B476" s="13" t="str">
        <x:v>Onyva Boston</x:v>
      </x:c>
      <x:c r="C476" s="13" t="str">
        <x:v>booking url</x:v>
      </x:c>
      <x:c r="D476" s="13" t="str">
        <x:v>https://boston.onyvadogspa.com/</x:v>
      </x:c>
    </x:row>
    <x:row r="477" ht="34" customHeight="1">
      <x:c r="A477" s="8" t="str">
        <x:v>pet_03</x:v>
      </x:c>
      <x:c r="B477" s="8" t="str">
        <x:v>Onyva Boston</x:v>
      </x:c>
      <x:c r="C477" s="8" t="str">
        <x:v>start utc</x:v>
      </x:c>
      <x:c r="D477" s="8" t="str">
        <x:v>UTC 2026-10-04T20:29:26.546Z</x:v>
      </x:c>
    </x:row>
    <x:row r="478" ht="34" customHeight="1">
      <x:c r="A478" s="13" t="str">
        <x:v>pet_03</x:v>
      </x:c>
      <x:c r="B478" s="13" t="str">
        <x:v>Onyva Boston</x:v>
      </x:c>
      <x:c r="C478" s="13" t="str">
        <x:v>stop utc</x:v>
      </x:c>
      <x:c r="D478" s="13" t="str">
        <x:v>UTC 2026-10-04T20:30:05.204Z</x:v>
      </x:c>
    </x:row>
    <x:row r="479" ht="34" customHeight="1">
      <x:c r="A479" s="8" t="str">
        <x:v>pet_03</x:v>
      </x:c>
      <x:c r="B479" s="8" t="str">
        <x:v>Onyva Boston</x:v>
      </x:c>
      <x:c r="C479" s="8" t="str">
        <x:v>elapsed seconds</x:v>
      </x:c>
      <x:c r="D479" s="8" t="n">
        <x:v>38.658</x:v>
      </x:c>
    </x:row>
    <x:row r="480" ht="38" customHeight="1">
      <x:c r="A480" s="13" t="str">
        <x:v>pet_03</x:v>
      </x:c>
      <x:c r="B480" s="13" t="str">
        <x:v>Onyva Boston</x:v>
      </x:c>
      <x:c r="C480" s="13" t="str">
        <x:v>timing caveat</x:v>
      </x:c>
      <x:c r="D480" s="13" t="str">
        <x:v>Includes browser/tool delays, new-tab lookup and observer decision time. Excludes pre-entry search and post-stop screenshot save.</x:v>
      </x:c>
    </x:row>
    <x:row r="481" ht="34" customHeight="1">
      <x:c r="A481" s="8" t="str">
        <x:v>pet_03</x:v>
      </x:c>
      <x:c r="B481" s="8" t="str">
        <x:v>Onyva Boston</x:v>
      </x:c>
      <x:c r="C481" s="8" t="str">
        <x:v>service</x:v>
      </x:c>
      <x:c r="D481" s="8" t="str">
        <x:v>No service selected</x:v>
      </x:c>
    </x:row>
    <x:row r="482" ht="34" customHeight="1">
      <x:c r="A482" s="13" t="str">
        <x:v>pet_03</x:v>
      </x:c>
      <x:c r="B482" s="13" t="str">
        <x:v>Onyva Boston</x:v>
      </x:c>
      <x:c r="C482" s="13" t="str">
        <x:v>price</x:v>
      </x:c>
      <x:c r="D482" s="13" t="str"/>
    </x:row>
    <x:row r="483" ht="34" customHeight="1">
      <x:c r="A483" s="8" t="str">
        <x:v>pet_03</x:v>
      </x:c>
      <x:c r="B483" s="8" t="str">
        <x:v>Onyva Boston</x:v>
      </x:c>
      <x:c r="C483" s="8" t="str">
        <x:v>price qualifier</x:v>
      </x:c>
      <x:c r="D483" s="8" t="str">
        <x:v>No public booking quote observed</x:v>
      </x:c>
    </x:row>
    <x:row r="484" ht="34" customHeight="1">
      <x:c r="A484" s="13" t="str">
        <x:v>pet_03</x:v>
      </x:c>
      <x:c r="B484" s="13" t="str">
        <x:v>Onyva Boston</x:v>
      </x:c>
      <x:c r="C484" s="13" t="str">
        <x:v>duration minutes</x:v>
      </x:c>
      <x:c r="D484" s="13" t="str"/>
    </x:row>
    <x:row r="485" ht="34" customHeight="1">
      <x:c r="A485" s="8" t="str">
        <x:v>pet_03</x:v>
      </x:c>
      <x:c r="B485" s="8" t="str">
        <x:v>Onyva Boston</x:v>
      </x:c>
      <x:c r="C485" s="8" t="str">
        <x:v>observed date</x:v>
      </x:c>
      <x:c r="D485" s="8" t="str"/>
    </x:row>
    <x:row r="486" ht="34" customHeight="1">
      <x:c r="A486" s="13" t="str">
        <x:v>pet_03</x:v>
      </x:c>
      <x:c r="B486" s="13" t="str">
        <x:v>Onyva Boston</x:v>
      </x:c>
      <x:c r="C486" s="13" t="str">
        <x:v>slot count</x:v>
      </x:c>
      <x:c r="D486" s="13" t="str"/>
    </x:row>
    <x:row r="487" ht="34" customHeight="1">
      <x:c r="A487" s="8" t="str">
        <x:v>pet_03</x:v>
      </x:c>
      <x:c r="B487" s="8" t="str">
        <x:v>Onyva Boston</x:v>
      </x:c>
      <x:c r="C487" s="8" t="str">
        <x:v>slot examples</x:v>
      </x:c>
      <x:c r="D487" s="8" t="str">
        <x:v>Not observed</x:v>
      </x:c>
    </x:row>
    <x:row r="488" ht="34" customHeight="1">
      <x:c r="A488" s="13" t="str">
        <x:v>pet_03</x:v>
      </x:c>
      <x:c r="B488" s="13" t="str">
        <x:v>Onyva Boston</x:v>
      </x:c>
      <x:c r="C488" s="13" t="str">
        <x:v>slot timezone evidence</x:v>
      </x:c>
      <x:c r="D488" s="13" t="str">
        <x:v>No inventory reached</x:v>
      </x:c>
    </x:row>
    <x:row r="489" ht="34" customHeight="1">
      <x:c r="A489" s="8" t="str">
        <x:v>pet_03</x:v>
      </x:c>
      <x:c r="B489" s="8" t="str">
        <x:v>Onyva Boston</x:v>
      </x:c>
      <x:c r="C489" s="8" t="str">
        <x:v>sequence</x:v>
      </x:c>
      <x:c r="D489" s="8" t="str">
        <x:v>Boston homepage &gt; Book Now &gt; new app.onyvadogspa.com Login page</x:v>
      </x:c>
    </x:row>
    <x:row r="490" ht="34" customHeight="1">
      <x:c r="A490" s="13" t="str">
        <x:v>pet_03</x:v>
      </x:c>
      <x:c r="B490" s="13" t="str">
        <x:v>Onyva Boston</x:v>
      </x:c>
      <x:c r="C490" s="13" t="str">
        <x:v>endpoint</x:v>
      </x:c>
      <x:c r="D490" s="13" t="str">
        <x:v>Welcome Back login; new customers Register Here</x:v>
      </x:c>
    </x:row>
    <x:row r="491" ht="34" customHeight="1">
      <x:c r="A491" s="8" t="str">
        <x:v>pet_03</x:v>
      </x:c>
      <x:c r="B491" s="8" t="str">
        <x:v>Onyva Boston</x:v>
      </x:c>
      <x:c r="C491" s="8" t="str">
        <x:v>stop classification</x:v>
      </x:c>
      <x:c r="D491" s="8" t="str">
        <x:v>authentication_gate</x:v>
      </x:c>
    </x:row>
    <x:row r="492" ht="34" customHeight="1">
      <x:c r="A492" s="13" t="str">
        <x:v>pet_03</x:v>
      </x:c>
      <x:c r="B492" s="13" t="str">
        <x:v>Onyva Boston</x:v>
      </x:c>
      <x:c r="C492" s="13" t="str">
        <x:v>gates</x:v>
      </x:c>
      <x:c r="D492" s="13" t="str">
        <x:v>Authentication/registration precedes service, pet and date selections</x:v>
      </x:c>
    </x:row>
    <x:row r="493" ht="38" customHeight="1">
      <x:c r="A493" s="8" t="str">
        <x:v>pet_03</x:v>
      </x:c>
      <x:c r="B493" s="8" t="str">
        <x:v>Onyva Boston</x:v>
      </x:c>
      <x:c r="C493" s="8" t="str">
        <x:v>scenario deviation</x:v>
      </x:c>
      <x:c r="D493" s="8" t="str">
        <x:v>No service or date reached. Tracking-bearing app URL omitted; homepage is safe verified continuation URL and its Book Now opens app.</x:v>
      </x:c>
    </x:row>
    <x:row r="494" ht="38" customHeight="1">
      <x:c r="A494" s="13" t="str">
        <x:v>pet_03</x:v>
      </x:c>
      <x:c r="B494" s="13" t="str">
        <x:v>Onyva Boston</x:v>
      </x:c>
      <x:c r="C494" s="13" t="str">
        <x:v>returning customer evidence</x:v>
      </x:c>
      <x:c r="D494" s="13" t="str">
        <x:v>Existing customers first time in new system told to reset password; separate New Customers Register Here link</x:v>
      </x:c>
    </x:row>
    <x:row r="495" ht="38" customHeight="1">
      <x:c r="A495" s="8" t="str">
        <x:v>pet_03</x:v>
      </x:c>
      <x:c r="B495" s="8" t="str">
        <x:v>Onyva Boston</x:v>
      </x:c>
      <x:c r="C495" s="8" t="str">
        <x:v>evidence notes</x:v>
      </x:c>
      <x:c r="D495" s="8" t="str">
        <x:v>No registration/reset/login interaction. Public homepage advertises bath, clipping/cutting/shaping; business-hours footer says Tuesday/Thursday/Sunday closed, but hours are not appointment inventory.</x:v>
      </x:c>
    </x:row>
    <x:row r="496" ht="34" customHeight="1">
      <x:c r="A496" s="13" t="str">
        <x:v>pet_03</x:v>
      </x:c>
      <x:c r="B496" s="13" t="str">
        <x:v>Onyva Boston</x:v>
      </x:c>
      <x:c r="C496" s="13" t="str">
        <x:v>observed software label</x:v>
      </x:c>
      <x:c r="D496" s="13" t="str">
        <x:v>Unknown backend; provider-branded web UI</x:v>
      </x:c>
    </x:row>
    <x:row r="497" ht="34" customHeight="1">
      <x:c r="A497" s="8" t="str">
        <x:v>pet_03</x:v>
      </x:c>
      <x:c r="B497" s="8" t="str">
        <x:v>Onyva Boston</x:v>
      </x:c>
      <x:c r="C497" s="8" t="str">
        <x:v>software evidence</x:v>
      </x:c>
      <x:c r="D497" s="8" t="str">
        <x:v>Onyva Login page branding; no scheduling-vendor/backend identification observed</x:v>
      </x:c>
    </x:row>
    <x:row r="498" ht="34" customHeight="1">
      <x:c r="A498" s="13" t="str">
        <x:v>pet_03</x:v>
      </x:c>
      <x:c r="B498" s="13" t="str">
        <x:v>Onyva Boston</x:v>
      </x:c>
      <x:c r="C498" s="13" t="str">
        <x:v>localization assessment</x:v>
      </x:c>
      <x:c r="D498" s="13" t="str">
        <x:v>Boston homepage171NewburyStreet and app login; no price/date.</x:v>
      </x:c>
    </x:row>
    <x:row r="499" ht="34" customHeight="1">
      <x:c r="A499" s="8" t="str">
        <x:v>pet_03</x:v>
      </x:c>
      <x:c r="B499" s="8" t="str">
        <x:v>Onyva Boston</x:v>
      </x:c>
      <x:c r="C499" s="8" t="str">
        <x:v>phone call required</x:v>
      </x:c>
      <x:c r="D499" s="8" t="str">
        <x:v>UNKNOWN</x:v>
      </x:c>
    </x:row>
    <x:row r="500" ht="34" customHeight="1">
      <x:c r="A500" s="13" t="str">
        <x:v>pet_03</x:v>
      </x:c>
      <x:c r="B500" s="13" t="str">
        <x:v>Onyva Boston</x:v>
      </x:c>
      <x:c r="C500" s="13" t="str">
        <x:v>api access tested</x:v>
      </x:c>
      <x:c r="D500" s="30" t="b">
        <x:v>0</x:v>
      </x:c>
    </x:row>
    <x:row r="501" ht="34" customHeight="1">
      <x:c r="A501" s="8" t="str">
        <x:v>pet_03</x:v>
      </x:c>
      <x:c r="B501" s="8" t="str">
        <x:v>Onyva Boston</x:v>
      </x:c>
      <x:c r="C501" s="8" t="str">
        <x:v>initial url</x:v>
      </x:c>
      <x:c r="D501" s="8" t="str">
        <x:v>https://boston.onyvadogspa.com/</x:v>
      </x:c>
    </x:row>
    <x:row r="502" ht="34" customHeight="1">
      <x:c r="A502" s="13" t="str">
        <x:v>pet_03</x:v>
      </x:c>
      <x:c r="B502" s="13" t="str">
        <x:v>Onyva Boston</x:v>
      </x:c>
      <x:c r="C502" s="13" t="str">
        <x:v>final safe url</x:v>
      </x:c>
      <x:c r="D502" s="13" t="str">
        <x:v>https://boston.onyvadogspa.com/</x:v>
      </x:c>
    </x:row>
    <x:row r="503" ht="34" customHeight="1">
      <x:c r="A503" s="8" t="str">
        <x:v>pet_03</x:v>
      </x:c>
      <x:c r="B503" s="8" t="str">
        <x:v>Onyva Boston</x:v>
      </x:c>
      <x:c r="C503" s="8" t="str">
        <x:v>final state normalized</x:v>
      </x:c>
      <x:c r="D503" s="8" t="str">
        <x:v>Welcome Back login; new customers Register Here</x:v>
      </x:c>
    </x:row>
    <x:row r="504" ht="38" customHeight="1">
      <x:c r="A504" s="13" t="str">
        <x:v>pet_03</x:v>
      </x:c>
      <x:c r="B504" s="13" t="str">
        <x:v>Onyva Boston</x:v>
      </x:c>
      <x:c r="C504" s="13" t="str">
        <x:v>channels used</x:v>
      </x:c>
      <x:c r="D504" s="13" t="str">
        <x:v>public provider website
provider-branded web interface</x:v>
      </x:c>
    </x:row>
    <x:row r="505" ht="38" customHeight="1">
      <x:c r="A505" s="8" t="str">
        <x:v>pet_03</x:v>
      </x:c>
      <x:c r="B505" s="8" t="str">
        <x:v>Onyva Boston</x:v>
      </x:c>
      <x:c r="C505" s="8" t="str">
        <x:v>rail effect hypothesis</x:v>
      </x:c>
      <x:c r="D505" s="8" t="str">
        <x:v>A delegated account connection might support existing-customer rebooking. New customer registration and provider profile requirements remain untested.</x:v>
      </x:c>
    </x:row>
    <x:row r="506" ht="34" customHeight="1">
      <x:c r="A506" s="13" t="str">
        <x:v>pet_03</x:v>
      </x:c>
      <x:c r="B506" s="13" t="str">
        <x:v>Onyva Boston</x:v>
      </x:c>
      <x:c r="C506" s="13" t="str">
        <x:v>price visibility code</x:v>
      </x:c>
      <x:c r="D506" s="13" t="str">
        <x:v>no_scenario_service_price_observed</x:v>
      </x:c>
    </x:row>
    <x:row r="507" ht="34" customHeight="1">
      <x:c r="A507" s="8" t="str">
        <x:v>pet_03</x:v>
      </x:c>
      <x:c r="B507" s="8" t="str">
        <x:v>Onyva Boston</x:v>
      </x:c>
      <x:c r="C507" s="8" t="str">
        <x:v>date display code</x:v>
      </x:c>
      <x:c r="D507" s="8" t="str">
        <x:v>no_usable_dated_time_choices_observed</x:v>
      </x:c>
    </x:row>
    <x:row r="508" ht="34" customHeight="1">
      <x:c r="A508" s="13" t="str">
        <x:v>F1</x:v>
      </x:c>
      <x:c r="B508" s="13" t="str">
        <x:v>YMCA Huntington Avenue</x:v>
      </x:c>
      <x:c r="C508" s="13" t="str">
        <x:v>software observed</x:v>
      </x:c>
      <x:c r="D508" s="13" t="str">
        <x:v>upace</x:v>
      </x:c>
    </x:row>
    <x:row r="509" ht="38" customHeight="1">
      <x:c r="A509" s="8" t="str">
        <x:v>F1</x:v>
      </x:c>
      <x:c r="B509" s="8" t="str">
        <x:v>YMCA Huntington Avenue</x:v>
      </x:c>
      <x:c r="C509" s="8" t="str">
        <x:v>platform evidence</x:v>
      </x:c>
      <x:c r="D509" s="8" t="str">
        <x:v>Browser AX embedded page title upace app and URL embed.upace.app/classes/141/calendar; public Google Play app link includes com.upace.ymcaboston</x:v>
      </x:c>
    </x:row>
    <x:row r="510" ht="34" customHeight="1">
      <x:c r="A510" s="13" t="str">
        <x:v>F1</x:v>
      </x:c>
      <x:c r="B510" s="13" t="str">
        <x:v>YMCA Huntington Avenue</x:v>
      </x:c>
      <x:c r="C510" s="13" t="str">
        <x:v>deduplication platform key</x:v>
      </x:c>
      <x:c r="D510" s="13" t="str">
        <x:v>UPACE</x:v>
      </x:c>
    </x:row>
    <x:row r="511" ht="34" customHeight="1">
      <x:c r="A511" s="8" t="str">
        <x:v>F1</x:v>
      </x:c>
      <x:c r="B511" s="8" t="str">
        <x:v>YMCA Huntington Avenue</x:v>
      </x:c>
      <x:c r="C511" s="8" t="str">
        <x:v>price scope</x:v>
      </x:c>
      <x:c r="D511" s="8" t="str">
        <x:v>No single-class amount observed</x:v>
      </x:c>
    </x:row>
    <x:row r="512" ht="38" customHeight="1">
      <x:c r="A512" s="13" t="str">
        <x:v>F1</x:v>
      </x:c>
      <x:c r="B512" s="13" t="str">
        <x:v>YMCA Huntington Avenue</x:v>
      </x:c>
      <x:c r="C512" s="13" t="str">
        <x:v>availability scope</x:v>
      </x:c>
      <x:c r="D512" s="13" t="str">
        <x:v>Huntington Avenue YMCA filter verified in final DOM; listings from other branches excluded from reported examples</x:v>
      </x:c>
    </x:row>
    <x:row r="513" ht="34" customHeight="1">
      <x:c r="A513" s="8" t="str">
        <x:v>F1</x:v>
      </x:c>
      <x:c r="B513" s="8" t="str">
        <x:v>YMCA Huntington Avenue</x:v>
      </x:c>
      <x:c r="C513" s="8" t="str">
        <x:v>location</x:v>
      </x:c>
      <x:c r="D513" s="8" t="str">
        <x:v>316 Huntington Avenue, Boston, MA 02115</x:v>
      </x:c>
    </x:row>
    <x:row r="514" ht="34" customHeight="1">
      <x:c r="A514" s="13" t="str">
        <x:v>F1</x:v>
      </x:c>
      <x:c r="B514" s="13" t="str">
        <x:v>YMCA Huntington Avenue</x:v>
      </x:c>
      <x:c r="C514" s="13" t="str">
        <x:v>scenario</x:v>
      </x:c>
      <x:c r="D514" s="13" t="str">
        <x:v>One adult group fitness class, October 6–10 2026</x:v>
      </x:c>
    </x:row>
    <x:row r="515" ht="34" customHeight="1">
      <x:c r="A515" s="8" t="str">
        <x:v>F1</x:v>
      </x:c>
      <x:c r="B515" s="8" t="str">
        <x:v>YMCA Huntington Avenue</x:v>
      </x:c>
      <x:c r="C515" s="8" t="str">
        <x:v>start utc</x:v>
      </x:c>
      <x:c r="D515" s="8" t="str">
        <x:v>UTC 2026-10-04T20:24:48.729Z</x:v>
      </x:c>
    </x:row>
    <x:row r="516" ht="34" customHeight="1">
      <x:c r="A516" s="13" t="str">
        <x:v>F1</x:v>
      </x:c>
      <x:c r="B516" s="13" t="str">
        <x:v>YMCA Huntington Avenue</x:v>
      </x:c>
      <x:c r="C516" s="13" t="str">
        <x:v>stop utc</x:v>
      </x:c>
      <x:c r="D516" s="13" t="str">
        <x:v>UTC 2026-10-04T20:26:06.388Z</x:v>
      </x:c>
    </x:row>
    <x:row r="517" ht="34" customHeight="1">
      <x:c r="A517" s="8" t="str">
        <x:v>F1</x:v>
      </x:c>
      <x:c r="B517" s="8" t="str">
        <x:v>YMCA Huntington Avenue</x:v>
      </x:c>
      <x:c r="C517" s="8" t="str">
        <x:v>elapsed seconds</x:v>
      </x:c>
      <x:c r="D517" s="8" t="n">
        <x:v>77.659</x:v>
      </x:c>
    </x:row>
    <x:row r="518" ht="34" customHeight="1">
      <x:c r="A518" s="13" t="str">
        <x:v>F1</x:v>
      </x:c>
      <x:c r="B518" s="13" t="str">
        <x:v>YMCA Huntington Avenue</x:v>
      </x:c>
      <x:c r="C518" s="13" t="str">
        <x:v>first url</x:v>
      </x:c>
      <x:c r="D518" s="13" t="str">
        <x:v>https://ymcaboston.org/huntington/</x:v>
      </x:c>
    </x:row>
    <x:row r="519" ht="34" customHeight="1">
      <x:c r="A519" s="8" t="str">
        <x:v>F1</x:v>
      </x:c>
      <x:c r="B519" s="8" t="str">
        <x:v>YMCA Huntington Avenue</x:v>
      </x:c>
      <x:c r="C519" s="8" t="str">
        <x:v>endpoint url</x:v>
      </x:c>
      <x:c r="D519" s="8" t="str">
        <x:v>https://ymcaboston.org/healthy-living/fitness-classes/#schedules</x:v>
      </x:c>
    </x:row>
    <x:row r="520" ht="103" customHeight="1">
      <x:c r="A520" s="13" t="str">
        <x:v>F1</x:v>
      </x:c>
      <x:c r="B520" s="13" t="str">
        <x:v>YMCA Huntington Avenue</x:v>
      </x:c>
      <x:c r="C520" s="13" t="str">
        <x:v>path</x:v>
      </x:c>
      <x:c r="D520" s="13" t="str">
        <x:v>Huntington location
Group Exercise Schedules
Public schedule
Next week Oct 5–11
Show Filters
Huntington Avenue YMCA selected
Stopped at calendar / Login to make reservations</x:v>
      </x:c>
    </x:row>
    <x:row r="521" ht="38" customHeight="1">
      <x:c r="A521" s="8" t="str">
        <x:v>F1</x:v>
      </x:c>
      <x:c r="B521" s="8" t="str">
        <x:v>YMCA Huntington Avenue</x:v>
      </x:c>
      <x:c r="C521" s="8" t="str">
        <x:v>endpoint</x:v>
      </x:c>
      <x:c r="D521" s="8" t="str">
        <x:v>Public Huntington class calendar. Reservation requires login. Page says registration opens 72 hours before class; nonmembers directed to day-pass request form</x:v>
      </x:c>
    </x:row>
    <x:row r="522" ht="34" customHeight="1">
      <x:c r="A522" s="13" t="str">
        <x:v>F1</x:v>
      </x:c>
      <x:c r="B522" s="13" t="str">
        <x:v>YMCA Huntington Avenue</x:v>
      </x:c>
      <x:c r="C522" s="13" t="str">
        <x:v>endpoint class</x:v>
      </x:c>
      <x:c r="D522" s="13" t="str">
        <x:v>stopped_at_login_gate</x:v>
      </x:c>
    </x:row>
    <x:row r="523" ht="34" customHeight="1">
      <x:c r="A523" s="8" t="str">
        <x:v>F1</x:v>
      </x:c>
      <x:c r="B523" s="8" t="str">
        <x:v>YMCA Huntington Avenue</x:v>
      </x:c>
      <x:c r="C523" s="8" t="str">
        <x:v>public availability kind</x:v>
      </x:c>
      <x:c r="D523" s="8" t="str">
        <x:v>Dated class timetable, not guaranteed reservable capacity; not all dates in current 72-hour booking window</x:v>
      </x:c>
    </x:row>
    <x:row r="524" ht="34" customHeight="1">
      <x:c r="A524" s="13" t="str">
        <x:v>F1</x:v>
      </x:c>
      <x:c r="B524" s="13" t="str">
        <x:v>YMCA Huntington Avenue</x:v>
      </x:c>
      <x:c r="C524" s="13" t="str">
        <x:v>observed dates</x:v>
      </x:c>
      <x:c r="D524" s="13" t="str">
        <x:v>Week Oct 5–11; relevant Oct 6–10 visible</x:v>
      </x:c>
    </x:row>
    <x:row r="525" ht="51" customHeight="1">
      <x:c r="A525" s="8" t="str">
        <x:v>F1</x:v>
      </x:c>
      <x:c r="B525" s="8" t="str">
        <x:v>YMCA Huntington Avenue</x:v>
      </x:c>
      <x:c r="C525" s="8" t="str">
        <x:v>observed slots or timetable</x:v>
      </x:c>
      <x:c r="D525" s="8" t="str">
        <x:v>Oct 6: Gentle Flow Yoga 8:30–9:25am; Tai Chi 9–9:45am; Circuit Bootcamp 10–10:55am; Strength Training 5–6pm; Cycle 6–7pm; Vinyasa Flow 6–6:55pm; Zumba 6–6:55pm; BodyPump 7–8pm. Oct7 noon Core Express marked cancelled. Full Oct6–10 timetable in saved DOM</x:v>
      </x:c>
    </x:row>
    <x:row r="526" ht="34" customHeight="1">
      <x:c r="A526" s="13" t="str">
        <x:v>F1</x:v>
      </x:c>
      <x:c r="B526" s="13" t="str">
        <x:v>YMCA Huntington Avenue</x:v>
      </x:c>
      <x:c r="C526" s="13" t="str">
        <x:v>price</x:v>
      </x:c>
      <x:c r="D526" s="13" t="str">
        <x:v>No single-class amount displayed on inspected path</x:v>
      </x:c>
    </x:row>
    <x:row r="527" ht="64" customHeight="1">
      <x:c r="A527" s="8" t="str">
        <x:v>F1</x:v>
      </x:c>
      <x:c r="B527" s="8" t="str">
        <x:v>YMCA Huntington Avenue</x:v>
      </x:c>
      <x:c r="C527" s="8" t="str">
        <x:v>requirements in sequence</x:v>
      </x:c>
      <x:c r="D527" s="8" t="str">
        <x:v>Select YMCA center
Choose week/class
72-hour registration window
Login to reserve; nonmembers directed to day-pass request</x:v>
      </x:c>
    </x:row>
    <x:row r="528" ht="34" customHeight="1">
      <x:c r="A528" s="13" t="str">
        <x:v>F1</x:v>
      </x:c>
      <x:c r="B528" s="13" t="str">
        <x:v>YMCA Huntington Avenue</x:v>
      </x:c>
      <x:c r="C528" s="13" t="str">
        <x:v>returning customer evidence</x:v>
      </x:c>
      <x:c r="D528" s="13" t="str">
        <x:v>Login to make reservations and app booking described; not tested</x:v>
      </x:c>
    </x:row>
    <x:row r="529" ht="38" customHeight="1">
      <x:c r="A529" s="8" t="str">
        <x:v>F1</x:v>
      </x:c>
      <x:c r="B529" s="8" t="str">
        <x:v>YMCA Huntington Avenue</x:v>
      </x:c>
      <x:c r="C529" s="8" t="str">
        <x:v>environment failures</x:v>
      </x:c>
      <x:c r="D529" s="8" t="str">
        <x:v>Schedule link opened target blank; observed URL subsequently opened in original owned tab. Schedule/filter populated asynchronously; final filtered list verified</x:v>
      </x:c>
    </x:row>
    <x:row r="530" ht="34" customHeight="1">
      <x:c r="A530" s="13" t="str">
        <x:v>F1</x:v>
      </x:c>
      <x:c r="B530" s="13" t="str">
        <x:v>YMCA Huntington Avenue</x:v>
      </x:c>
      <x:c r="C530" s="13" t="str">
        <x:v>scenario deviations</x:v>
      </x:c>
      <x:c r="D530" s="13" t="str">
        <x:v>No specific class or reservation control clicked; public timetable inspected across target window</x:v>
      </x:c>
    </x:row>
    <x:row r="531" ht="34" customHeight="1">
      <x:c r="A531" s="8" t="str">
        <x:v>F1</x:v>
      </x:c>
      <x:c r="B531" s="8" t="str">
        <x:v>YMCA Huntington Avenue</x:v>
      </x:c>
      <x:c r="C531" s="8" t="str">
        <x:v>success</x:v>
      </x:c>
      <x:c r="D531" s="8" t="str">
        <x:v>UNKNOWN</x:v>
      </x:c>
    </x:row>
    <x:row r="532" ht="34" customHeight="1">
      <x:c r="A532" s="13" t="str">
        <x:v>F1</x:v>
      </x:c>
      <x:c r="B532" s="13" t="str">
        <x:v>YMCA Huntington Avenue</x:v>
      </x:c>
      <x:c r="C532" s="13" t="str">
        <x:v>completed booking</x:v>
      </x:c>
      <x:c r="D532" s="30" t="b">
        <x:v>0</x:v>
      </x:c>
    </x:row>
    <x:row r="533" ht="34" customHeight="1">
      <x:c r="A533" s="8" t="str">
        <x:v>F1</x:v>
      </x:c>
      <x:c r="B533" s="8" t="str">
        <x:v>YMCA Huntington Avenue</x:v>
      </x:c>
      <x:c r="C533" s="8" t="str">
        <x:v>observed booking platform</x:v>
      </x:c>
      <x:c r="D533" s="8" t="str">
        <x:v>upace</x:v>
      </x:c>
    </x:row>
    <x:row r="534" ht="38" customHeight="1">
      <x:c r="A534" s="13" t="str">
        <x:v>F1</x:v>
      </x:c>
      <x:c r="B534" s="13" t="str">
        <x:v>YMCA Huntington Avenue</x:v>
      </x:c>
      <x:c r="C534" s="13" t="str">
        <x:v>localization assessment</x:v>
      </x:c>
      <x:c r="D534" s="13" t="str">
        <x:v>HuntingtonAvenue YMCA filter explicitly selected and verified. Local-date class timetable; capacity not verified and72-hour booking window matters.</x:v>
      </x:c>
    </x:row>
    <x:row r="535" ht="34" customHeight="1">
      <x:c r="A535" s="8" t="str">
        <x:v>F1</x:v>
      </x:c>
      <x:c r="B535" s="8" t="str">
        <x:v>YMCA Huntington Avenue</x:v>
      </x:c>
      <x:c r="C535" s="8" t="str">
        <x:v>booking success</x:v>
      </x:c>
      <x:c r="D535" s="8" t="str">
        <x:v>UNKNOWN</x:v>
      </x:c>
    </x:row>
    <x:row r="536" ht="34" customHeight="1">
      <x:c r="A536" s="13" t="str">
        <x:v>F1</x:v>
      </x:c>
      <x:c r="B536" s="13" t="str">
        <x:v>YMCA Huntington Avenue</x:v>
      </x:c>
      <x:c r="C536" s="13" t="str">
        <x:v>booking submitted</x:v>
      </x:c>
      <x:c r="D536" s="30" t="b">
        <x:v>0</x:v>
      </x:c>
    </x:row>
    <x:row r="537" ht="34" customHeight="1">
      <x:c r="A537" s="8" t="str">
        <x:v>F1</x:v>
      </x:c>
      <x:c r="B537" s="8" t="str">
        <x:v>YMCA Huntington Avenue</x:v>
      </x:c>
      <x:c r="C537" s="8" t="str">
        <x:v>phone call required</x:v>
      </x:c>
      <x:c r="D537" s="8" t="str">
        <x:v>UNKNOWN</x:v>
      </x:c>
    </x:row>
    <x:row r="538" ht="34" customHeight="1">
      <x:c r="A538" s="13" t="str">
        <x:v>F1</x:v>
      </x:c>
      <x:c r="B538" s="13" t="str">
        <x:v>YMCA Huntington Avenue</x:v>
      </x:c>
      <x:c r="C538" s="13" t="str">
        <x:v>api access tested</x:v>
      </x:c>
      <x:c r="D538" s="30" t="b">
        <x:v>0</x:v>
      </x:c>
    </x:row>
    <x:row r="539" ht="34" customHeight="1">
      <x:c r="A539" s="8" t="str">
        <x:v>F1</x:v>
      </x:c>
      <x:c r="B539" s="8" t="str">
        <x:v>YMCA Huntington Avenue</x:v>
      </x:c>
      <x:c r="C539" s="8" t="str">
        <x:v>initial url</x:v>
      </x:c>
      <x:c r="D539" s="8" t="str">
        <x:v>https://ymcaboston.org/huntington/</x:v>
      </x:c>
    </x:row>
    <x:row r="540" ht="34" customHeight="1">
      <x:c r="A540" s="13" t="str">
        <x:v>F1</x:v>
      </x:c>
      <x:c r="B540" s="13" t="str">
        <x:v>YMCA Huntington Avenue</x:v>
      </x:c>
      <x:c r="C540" s="13" t="str">
        <x:v>final safe url</x:v>
      </x:c>
      <x:c r="D540" s="13" t="str">
        <x:v>https://ymcaboston.org/healthy-living/fitness-classes/#schedules</x:v>
      </x:c>
    </x:row>
    <x:row r="541" ht="38" customHeight="1">
      <x:c r="A541" s="8" t="str">
        <x:v>F1</x:v>
      </x:c>
      <x:c r="B541" s="8" t="str">
        <x:v>YMCA Huntington Avenue</x:v>
      </x:c>
      <x:c r="C541" s="8" t="str">
        <x:v>final state normalized</x:v>
      </x:c>
      <x:c r="D541" s="8" t="str">
        <x:v>Public Huntington class calendar. Reservation requires login. Page says registration opens 72 hours before class; nonmembers directed to day-pass request form</x:v>
      </x:c>
    </x:row>
    <x:row r="542" ht="38" customHeight="1">
      <x:c r="A542" s="13" t="str">
        <x:v>F1</x:v>
      </x:c>
      <x:c r="B542" s="13" t="str">
        <x:v>YMCA Huntington Avenue</x:v>
      </x:c>
      <x:c r="C542" s="13" t="str">
        <x:v>channels used</x:v>
      </x:c>
      <x:c r="D542" s="13" t="str">
        <x:v>public provider website
upace public web interface</x:v>
      </x:c>
    </x:row>
    <x:row r="543" ht="38" customHeight="1">
      <x:c r="A543" s="8" t="str">
        <x:v>F1</x:v>
      </x:c>
      <x:c r="B543" s="8" t="str">
        <x:v>YMCA Huntington Avenue</x:v>
      </x:c>
      <x:c r="C543" s="8" t="str">
        <x:v>rail effect hypothesis</x:v>
      </x:c>
      <x:c r="D543" s="8" t="str">
        <x:v>Normalize local class schedule, capacity and the 72-hour reservation window. Requires authorized member identity or a valid day pass; timetable is not capacity.</x:v>
      </x:c>
    </x:row>
    <x:row r="544" ht="34" customHeight="1">
      <x:c r="A544" s="13" t="str">
        <x:v>F1</x:v>
      </x:c>
      <x:c r="B544" s="13" t="str">
        <x:v>YMCA Huntington Avenue</x:v>
      </x:c>
      <x:c r="C544" s="13" t="str">
        <x:v>price visibility code</x:v>
      </x:c>
      <x:c r="D544" s="13" t="str">
        <x:v>no_scenario_service_price_observed</x:v>
      </x:c>
    </x:row>
    <x:row r="545" ht="34" customHeight="1">
      <x:c r="A545" s="8" t="str">
        <x:v>F1</x:v>
      </x:c>
      <x:c r="B545" s="8" t="str">
        <x:v>YMCA Huntington Avenue</x:v>
      </x:c>
      <x:c r="C545" s="8" t="str">
        <x:v>date display code</x:v>
      </x:c>
      <x:c r="D545" s="8" t="str">
        <x:v>dated_class_timetable</x:v>
      </x:c>
    </x:row>
    <x:row r="546" ht="38" customHeight="1">
      <x:c r="A546" s="13" t="str">
        <x:v>F2</x:v>
      </x:c>
      <x:c r="B546" s="13" t="str">
        <x:v>Orangetheory Boston Back Bay</x:v>
      </x:c>
      <x:c r="C546" s="13" t="str">
        <x:v>software observed</x:v>
      </x:c>
      <x:c r="D546" s="13" t="str">
        <x:v>Orangetheory-branded first-party Book a Class form; underlying scheduling vendor unverified</x:v>
      </x:c>
    </x:row>
    <x:row r="547" ht="38" customHeight="1">
      <x:c r="A547" s="8" t="str">
        <x:v>F2</x:v>
      </x:c>
      <x:c r="B547" s="8" t="str">
        <x:v>Orangetheory Boston Back Bay</x:v>
      </x:c>
      <x:c r="C547" s="8" t="str">
        <x:v>platform evidence</x:v>
      </x:c>
      <x:c r="D547" s="8" t="str">
        <x:v>Visible Step 1 of 3 form embedded from webflow-react.orangetheory.com; hosting/rendering domain alone does not establish backend booking vendor</x:v>
      </x:c>
    </x:row>
    <x:row r="548" ht="38" customHeight="1">
      <x:c r="A548" s="13" t="str">
        <x:v>F2</x:v>
      </x:c>
      <x:c r="B548" s="13" t="str">
        <x:v>Orangetheory Boston Back Bay</x:v>
      </x:c>
      <x:c r="C548" s="13" t="str">
        <x:v>deduplication platform key</x:v>
      </x:c>
      <x:c r="D548" s="13" t="str">
        <x:v>UNVERIFIED_ORANGETHEORY</x:v>
      </x:c>
    </x:row>
    <x:row r="549" ht="38" customHeight="1">
      <x:c r="A549" s="8" t="str">
        <x:v>F2</x:v>
      </x:c>
      <x:c r="B549" s="8" t="str">
        <x:v>Orangetheory Boston Back Bay</x:v>
      </x:c>
      <x:c r="C549" s="8" t="str">
        <x:v>price scope</x:v>
      </x:c>
      <x:c r="D549" s="8" t="str">
        <x:v>Basic/Elite/Premier displayed in Back Bay studio membership section; $35 casual visit is generic recommended retail footer price varying by studio; $39 promo outside scenario dates</x:v>
      </x:c>
    </x:row>
    <x:row r="550" ht="38" customHeight="1">
      <x:c r="A550" s="13" t="str">
        <x:v>F2</x:v>
      </x:c>
      <x:c r="B550" s="13" t="str">
        <x:v>Orangetheory Boston Back Bay</x:v>
      </x:c>
      <x:c r="C550" s="13" t="str">
        <x:v>availability scope</x:v>
      </x:c>
      <x:c r="D550" s="13" t="str">
        <x:v>Back Bay selected in studio/form header; no dates or classes reached</x:v>
      </x:c>
    </x:row>
    <x:row r="551" ht="38" customHeight="1">
      <x:c r="A551" s="8" t="str">
        <x:v>F2</x:v>
      </x:c>
      <x:c r="B551" s="8" t="str">
        <x:v>Orangetheory Boston Back Bay</x:v>
      </x:c>
      <x:c r="C551" s="8" t="str">
        <x:v>location</x:v>
      </x:c>
      <x:c r="D551" s="8" t="str">
        <x:v>Boston Back Bay, Massachusetts</x:v>
      </x:c>
    </x:row>
    <x:row r="552" ht="38" customHeight="1">
      <x:c r="A552" s="13" t="str">
        <x:v>F2</x:v>
      </x:c>
      <x:c r="B552" s="13" t="str">
        <x:v>Orangetheory Boston Back Bay</x:v>
      </x:c>
      <x:c r="C552" s="13" t="str">
        <x:v>scenario</x:v>
      </x:c>
      <x:c r="D552" s="13" t="str">
        <x:v>One adult group fitness class, October 6–10 2026</x:v>
      </x:c>
    </x:row>
    <x:row r="553" ht="38" customHeight="1">
      <x:c r="A553" s="8" t="str">
        <x:v>F2</x:v>
      </x:c>
      <x:c r="B553" s="8" t="str">
        <x:v>Orangetheory Boston Back Bay</x:v>
      </x:c>
      <x:c r="C553" s="8" t="str">
        <x:v>start utc</x:v>
      </x:c>
      <x:c r="D553" s="8" t="str">
        <x:v>UTC 2026-10-04T20:26:12.718Z</x:v>
      </x:c>
    </x:row>
    <x:row r="554" ht="38" customHeight="1">
      <x:c r="A554" s="13" t="str">
        <x:v>F2</x:v>
      </x:c>
      <x:c r="B554" s="13" t="str">
        <x:v>Orangetheory Boston Back Bay</x:v>
      </x:c>
      <x:c r="C554" s="13" t="str">
        <x:v>stop utc</x:v>
      </x:c>
      <x:c r="D554" s="13" t="str">
        <x:v>UTC 2026-10-04T20:28:26.858Z</x:v>
      </x:c>
    </x:row>
    <x:row r="555" ht="38" customHeight="1">
      <x:c r="A555" s="8" t="str">
        <x:v>F2</x:v>
      </x:c>
      <x:c r="B555" s="8" t="str">
        <x:v>Orangetheory Boston Back Bay</x:v>
      </x:c>
      <x:c r="C555" s="8" t="str">
        <x:v>elapsed seconds</x:v>
      </x:c>
      <x:c r="D555" s="8" t="n">
        <x:v>134.14</x:v>
      </x:c>
    </x:row>
    <x:row r="556" ht="38" customHeight="1">
      <x:c r="A556" s="13" t="str">
        <x:v>F2</x:v>
      </x:c>
      <x:c r="B556" s="13" t="str">
        <x:v>Orangetheory Boston Back Bay</x:v>
      </x:c>
      <x:c r="C556" s="13" t="str">
        <x:v>first url</x:v>
      </x:c>
      <x:c r="D556" s="13" t="str">
        <x:v>https://www.orangetheory.com/en-us/locations/boston-massachusetts-0285?2d235898_page=1</x:v>
      </x:c>
    </x:row>
    <x:row r="557" ht="38" customHeight="1">
      <x:c r="A557" s="8" t="str">
        <x:v>F2</x:v>
      </x:c>
      <x:c r="B557" s="8" t="str">
        <x:v>Orangetheory Boston Back Bay</x:v>
      </x:c>
      <x:c r="C557" s="8" t="str">
        <x:v>endpoint url</x:v>
      </x:c>
      <x:c r="D557" s="8" t="str">
        <x:v>https://www.orangetheory.com/en-us/book-a-class-1?location_id=d5aec246-accd-4726-bdcb-afd2d2c5bc96&amp;2d235898_page=1&amp;step=1</x:v>
      </x:c>
    </x:row>
    <x:row r="558" ht="77" customHeight="1">
      <x:c r="A558" s="13" t="str">
        <x:v>F2</x:v>
      </x:c>
      <x:c r="B558" s="13" t="str">
        <x:v>Orangetheory Boston Back Bay</x:v>
      </x:c>
      <x:c r="C558" s="13" t="str">
        <x:v>path</x:v>
      </x:c>
      <x:c r="D558" s="13" t="str">
        <x:v>Back Bay studio page
Book Now
Step 1 of 3 Let's get to know you
Reject optional cookies
Stopped before personal-data form</x:v>
      </x:c>
    </x:row>
    <x:row r="559" ht="38" customHeight="1">
      <x:c r="A559" s="8" t="str">
        <x:v>F2</x:v>
      </x:c>
      <x:c r="B559" s="8" t="str">
        <x:v>Orangetheory Boston Back Bay</x:v>
      </x:c>
      <x:c r="C559" s="8" t="str">
        <x:v>endpoint</x:v>
      </x:c>
      <x:c r="D559" s="8" t="str">
        <x:v>First/last name, email, phone and ZIP fields before schedule; local-resident/18+/terms checkbox prechecked by site; separate marketing SMS checkbox unchecked; no fields or checkboxes altered; Next not clicked</x:v>
      </x:c>
    </x:row>
    <x:row r="560" ht="38" customHeight="1">
      <x:c r="A560" s="13" t="str">
        <x:v>F2</x:v>
      </x:c>
      <x:c r="B560" s="13" t="str">
        <x:v>Orangetheory Boston Back Bay</x:v>
      </x:c>
      <x:c r="C560" s="13" t="str">
        <x:v>endpoint class</x:v>
      </x:c>
      <x:c r="D560" s="13" t="str">
        <x:v>stopped_at_personal_data_and_eligibility_gate</x:v>
      </x:c>
    </x:row>
    <x:row r="561" ht="38" customHeight="1">
      <x:c r="A561" s="8" t="str">
        <x:v>F2</x:v>
      </x:c>
      <x:c r="B561" s="8" t="str">
        <x:v>Orangetheory Boston Back Bay</x:v>
      </x:c>
      <x:c r="C561" s="8" t="str">
        <x:v>public availability kind</x:v>
      </x:c>
      <x:c r="D561" s="8" t="str">
        <x:v>Date/slot selection not reached</x:v>
      </x:c>
    </x:row>
    <x:row r="562" ht="38" customHeight="1">
      <x:c r="A562" s="13" t="str">
        <x:v>F2</x:v>
      </x:c>
      <x:c r="B562" s="13" t="str">
        <x:v>Orangetheory Boston Back Bay</x:v>
      </x:c>
      <x:c r="C562" s="13" t="str">
        <x:v>observed dates</x:v>
      </x:c>
      <x:c r="D562" s="13" t="str">
        <x:v>Not reached</x:v>
      </x:c>
    </x:row>
    <x:row r="563" ht="38" customHeight="1">
      <x:c r="A563" s="8" t="str">
        <x:v>F2</x:v>
      </x:c>
      <x:c r="B563" s="8" t="str">
        <x:v>Orangetheory Boston Back Bay</x:v>
      </x:c>
      <x:c r="C563" s="8" t="str">
        <x:v>observed slots or timetable</x:v>
      </x:c>
      <x:c r="D563" s="8" t="str">
        <x:v>None observed</x:v>
      </x:c>
    </x:row>
    <x:row r="564" ht="51" customHeight="1">
      <x:c r="A564" s="13" t="str">
        <x:v>F2</x:v>
      </x:c>
      <x:c r="B564" s="13" t="str">
        <x:v>Orangetheory Boston Back Bay</x:v>
      </x:c>
      <x:c r="C564" s="13" t="str">
        <x:v>price</x:v>
      </x:c>
      <x:c r="D564" s="13" t="str">
        <x:v>Footer says recommended casual-visit retail price $35 but explicitly varies by studio, so no verified Back Bay drop-in quote. Basic $119/month for 4 classes; Elite $169/month for 8; Premier plans. $39 eight-day promotion applies October 24–31 outside test window</x:v>
      </x:c>
    </x:row>
    <x:row r="565" ht="116" customHeight="1">
      <x:c r="A565" s="8" t="str">
        <x:v>F2</x:v>
      </x:c>
      <x:c r="B565" s="8" t="str">
        <x:v>Orangetheory Boston Back Bay</x:v>
      </x:c>
      <x:c r="C565" s="8" t="str">
        <x:v>requirements in sequence</x:v>
      </x:c>
      <x:c r="D565" s="8" t="str">
        <x:v>Choose studio
First name
Last name
Email
Phone
ZIP
Local resident and age18+ eligibility plus privacy/terms
Next; later stages untested</x:v>
      </x:c>
    </x:row>
    <x:row r="566" ht="38" customHeight="1">
      <x:c r="A566" s="13" t="str">
        <x:v>F2</x:v>
      </x:c>
      <x:c r="B566" s="13" t="str">
        <x:v>Orangetheory Boston Back Bay</x:v>
      </x:c>
      <x:c r="C566" s="13" t="str">
        <x:v>returning customer evidence</x:v>
      </x:c>
      <x:c r="D566" s="13" t="str">
        <x:v>Studio page promotes OTF app for class bookings; no returning-client login tested</x:v>
      </x:c>
    </x:row>
    <x:row r="567" ht="64" customHeight="1">
      <x:c r="A567" s="8" t="str">
        <x:v>F2</x:v>
      </x:c>
      <x:c r="B567" s="8" t="str">
        <x:v>Orangetheory Boston Back Bay</x:v>
      </x:c>
      <x:c r="C567" s="8" t="str">
        <x:v>environment failures</x:v>
      </x:c>
      <x:c r="D567" s="8" t="str">
        <x:v>Book Now browser call denied by tool approval
Separate screenshot/save + Yoga Union navigation call also denied before output
Same calls retried once with authorization context and succeeded
No evidence of website bot detection or unavailable API</x:v>
      </x:c>
    </x:row>
    <x:row r="568" ht="38" customHeight="1">
      <x:c r="A568" s="13" t="str">
        <x:v>F2</x:v>
      </x:c>
      <x:c r="B568" s="13" t="str">
        <x:v>Orangetheory Boston Back Bay</x:v>
      </x:c>
      <x:c r="C568" s="13" t="str">
        <x:v>scenario deviations</x:v>
      </x:c>
      <x:c r="D568" s="13" t="str">
        <x:v>Date not reached because personal information precedes schedule. New/introductory visitor path may differ from existing customer app flow</x:v>
      </x:c>
    </x:row>
    <x:row r="569" ht="38" customHeight="1">
      <x:c r="A569" s="8" t="str">
        <x:v>F2</x:v>
      </x:c>
      <x:c r="B569" s="8" t="str">
        <x:v>Orangetheory Boston Back Bay</x:v>
      </x:c>
      <x:c r="C569" s="8" t="str">
        <x:v>timing notes</x:v>
      </x:c>
      <x:c r="D569" s="8" t="str">
        <x:v>Includes two tool-approval denials and coordination wait; materially confounded and unsuitable as consumer-time estimate. Intermediate clock observation at 20:27:11Z was superseded by final stop after recovery</x:v>
      </x:c>
    </x:row>
    <x:row r="570" ht="38" customHeight="1">
      <x:c r="A570" s="13" t="str">
        <x:v>F2</x:v>
      </x:c>
      <x:c r="B570" s="13" t="str">
        <x:v>Orangetheory Boston Back Bay</x:v>
      </x:c>
      <x:c r="C570" s="13" t="str">
        <x:v>success</x:v>
      </x:c>
      <x:c r="D570" s="13" t="str">
        <x:v>UNKNOWN</x:v>
      </x:c>
    </x:row>
    <x:row r="571" ht="38" customHeight="1">
      <x:c r="A571" s="8" t="str">
        <x:v>F2</x:v>
      </x:c>
      <x:c r="B571" s="8" t="str">
        <x:v>Orangetheory Boston Back Bay</x:v>
      </x:c>
      <x:c r="C571" s="8" t="str">
        <x:v>completed booking</x:v>
      </x:c>
      <x:c r="D571" s="29" t="b">
        <x:v>0</x:v>
      </x:c>
    </x:row>
    <x:row r="572" ht="38" customHeight="1">
      <x:c r="A572" s="13" t="str">
        <x:v>F2</x:v>
      </x:c>
      <x:c r="B572" s="13" t="str">
        <x:v>Orangetheory Boston Back Bay</x:v>
      </x:c>
      <x:c r="C572" s="13" t="str">
        <x:v>localization assessment</x:v>
      </x:c>
      <x:c r="D572" s="13" t="str">
        <x:v>BostonBackBay location_id in form; generic $35 suggested casual price varies by studio, not verified local quote; no date inventory.</x:v>
      </x:c>
    </x:row>
    <x:row r="573" ht="38" customHeight="1">
      <x:c r="A573" s="8" t="str">
        <x:v>F2</x:v>
      </x:c>
      <x:c r="B573" s="8" t="str">
        <x:v>Orangetheory Boston Back Bay</x:v>
      </x:c>
      <x:c r="C573" s="8" t="str">
        <x:v>booking success</x:v>
      </x:c>
      <x:c r="D573" s="8" t="str">
        <x:v>UNKNOWN</x:v>
      </x:c>
    </x:row>
    <x:row r="574" ht="38" customHeight="1">
      <x:c r="A574" s="13" t="str">
        <x:v>F2</x:v>
      </x:c>
      <x:c r="B574" s="13" t="str">
        <x:v>Orangetheory Boston Back Bay</x:v>
      </x:c>
      <x:c r="C574" s="13" t="str">
        <x:v>booking submitted</x:v>
      </x:c>
      <x:c r="D574" s="30" t="b">
        <x:v>0</x:v>
      </x:c>
    </x:row>
    <x:row r="575" ht="38" customHeight="1">
      <x:c r="A575" s="8" t="str">
        <x:v>F2</x:v>
      </x:c>
      <x:c r="B575" s="8" t="str">
        <x:v>Orangetheory Boston Back Bay</x:v>
      </x:c>
      <x:c r="C575" s="8" t="str">
        <x:v>phone call required</x:v>
      </x:c>
      <x:c r="D575" s="8" t="str">
        <x:v>UNKNOWN</x:v>
      </x:c>
    </x:row>
    <x:row r="576" ht="38" customHeight="1">
      <x:c r="A576" s="13" t="str">
        <x:v>F2</x:v>
      </x:c>
      <x:c r="B576" s="13" t="str">
        <x:v>Orangetheory Boston Back Bay</x:v>
      </x:c>
      <x:c r="C576" s="13" t="str">
        <x:v>api access tested</x:v>
      </x:c>
      <x:c r="D576" s="30" t="b">
        <x:v>0</x:v>
      </x:c>
    </x:row>
    <x:row r="577" ht="38" customHeight="1">
      <x:c r="A577" s="8" t="str">
        <x:v>F2</x:v>
      </x:c>
      <x:c r="B577" s="8" t="str">
        <x:v>Orangetheory Boston Back Bay</x:v>
      </x:c>
      <x:c r="C577" s="8" t="str">
        <x:v>initial url</x:v>
      </x:c>
      <x:c r="D577" s="8" t="str">
        <x:v>https://www.orangetheory.com/en-us/locations/boston-massachusetts-0285?2d235898_page=1</x:v>
      </x:c>
    </x:row>
    <x:row r="578" ht="38" customHeight="1">
      <x:c r="A578" s="13" t="str">
        <x:v>F2</x:v>
      </x:c>
      <x:c r="B578" s="13" t="str">
        <x:v>Orangetheory Boston Back Bay</x:v>
      </x:c>
      <x:c r="C578" s="13" t="str">
        <x:v>final safe url</x:v>
      </x:c>
      <x:c r="D578" s="13" t="str">
        <x:v>https://www.orangetheory.com/en-us/book-a-class-1?location_id=d5aec246-accd-4726-bdcb-afd2d2c5bc96&amp;2d235898_page=1&amp;step=1</x:v>
      </x:c>
    </x:row>
    <x:row r="579" ht="38" customHeight="1">
      <x:c r="A579" s="8" t="str">
        <x:v>F2</x:v>
      </x:c>
      <x:c r="B579" s="8" t="str">
        <x:v>Orangetheory Boston Back Bay</x:v>
      </x:c>
      <x:c r="C579" s="8" t="str">
        <x:v>final state normalized</x:v>
      </x:c>
      <x:c r="D579" s="8" t="str">
        <x:v>First/last name, email, phone and ZIP fields before schedule; local-resident/18+/terms checkbox prechecked by site; separate marketing SMS checkbox unchecked; no fields or checkboxes altered; Next not clicked</x:v>
      </x:c>
    </x:row>
    <x:row r="580" ht="38" customHeight="1">
      <x:c r="A580" s="13" t="str">
        <x:v>F2</x:v>
      </x:c>
      <x:c r="B580" s="13" t="str">
        <x:v>Orangetheory Boston Back Bay</x:v>
      </x:c>
      <x:c r="C580" s="13" t="str">
        <x:v>channels used</x:v>
      </x:c>
      <x:c r="D580" s="13" t="str">
        <x:v>public provider website
provider-branded web interface</x:v>
      </x:c>
    </x:row>
    <x:row r="581" ht="38" customHeight="1">
      <x:c r="A581" s="8" t="str">
        <x:v>F2</x:v>
      </x:c>
      <x:c r="B581" s="8" t="str">
        <x:v>Orangetheory Boston Back Bay</x:v>
      </x:c>
      <x:c r="C581" s="8" t="str">
        <x:v>rail effect hypothesis</x:v>
      </x:c>
      <x:c r="D581" s="8" t="str">
        <x:v>Support authorized existing-member discovery and booking if available. A first-visit lead form has eligibility and identity requirements that API traversal alone cannot remove.</x:v>
      </x:c>
    </x:row>
    <x:row r="582" ht="38" customHeight="1">
      <x:c r="A582" s="13" t="str">
        <x:v>F2</x:v>
      </x:c>
      <x:c r="B582" s="13" t="str">
        <x:v>Orangetheory Boston Back Bay</x:v>
      </x:c>
      <x:c r="C582" s="13" t="str">
        <x:v>price visibility code</x:v>
      </x:c>
      <x:c r="D582" s="13" t="str">
        <x:v>no_scenario_service_price_observed</x:v>
      </x:c>
    </x:row>
    <x:row r="583" ht="38" customHeight="1">
      <x:c r="A583" s="8" t="str">
        <x:v>F2</x:v>
      </x:c>
      <x:c r="B583" s="8" t="str">
        <x:v>Orangetheory Boston Back Bay</x:v>
      </x:c>
      <x:c r="C583" s="8" t="str">
        <x:v>date display code</x:v>
      </x:c>
      <x:c r="D583" s="8" t="str">
        <x:v>no_usable_dated_time_choices_observed</x:v>
      </x:c>
    </x:row>
    <x:row r="584" ht="34" customHeight="1">
      <x:c r="A584" s="13" t="str">
        <x:v>F3</x:v>
      </x:c>
      <x:c r="B584" s="13" t="str">
        <x:v>Boston Yoga Union Back Bay</x:v>
      </x:c>
      <x:c r="C584" s="13" t="str">
        <x:v>software observed</x:v>
      </x:c>
      <x:c r="D584" s="13" t="str">
        <x:v>Momence</x:v>
      </x:c>
    </x:row>
    <x:row r="585" ht="38" customHeight="1">
      <x:c r="A585" s="8" t="str">
        <x:v>F3</x:v>
      </x:c>
      <x:c r="B585" s="8" t="str">
        <x:v>Boston Yoga Union Back Bay</x:v>
      </x:c>
      <x:c r="C585" s="8" t="str">
        <x:v>platform evidence</x:v>
      </x:c>
      <x:c r="D585" s="8" t="str">
        <x:v>Browser AX iframe container momence-plugin-host-schedule, momence.com attribution link, and class-specific momence.com Book now URLs</x:v>
      </x:c>
    </x:row>
    <x:row r="586" ht="34" customHeight="1">
      <x:c r="A586" s="13" t="str">
        <x:v>F3</x:v>
      </x:c>
      <x:c r="B586" s="13" t="str">
        <x:v>Boston Yoga Union Back Bay</x:v>
      </x:c>
      <x:c r="C586" s="13" t="str">
        <x:v>deduplication platform key</x:v>
      </x:c>
      <x:c r="D586" s="13" t="str">
        <x:v>MOMENCE</x:v>
      </x:c>
    </x:row>
    <x:row r="587" ht="34" customHeight="1">
      <x:c r="A587" s="8" t="str">
        <x:v>F3</x:v>
      </x:c>
      <x:c r="B587" s="8" t="str">
        <x:v>Boston Yoga Union Back Bay</x:v>
      </x:c>
      <x:c r="C587" s="8" t="str">
        <x:v>price scope</x:v>
      </x:c>
      <x:c r="D587" s="8" t="str">
        <x:v>$49 introductory 3-week offer on Back Bay page; not a one-class amount</x:v>
      </x:c>
    </x:row>
    <x:row r="588" ht="34" customHeight="1">
      <x:c r="A588" s="13" t="str">
        <x:v>F3</x:v>
      </x:c>
      <x:c r="B588" s="13" t="str">
        <x:v>Boston Yoga Union Back Bay</x:v>
      </x:c>
      <x:c r="C588" s="13" t="str">
        <x:v>availability scope</x:v>
      </x:c>
      <x:c r="D588" s="13" t="str">
        <x:v>Back Bay switch checked and Tuesday Oct6 selected after timezone correction</x:v>
      </x:c>
    </x:row>
    <x:row r="589" ht="38" customHeight="1">
      <x:c r="A589" s="8" t="str">
        <x:v>F3</x:v>
      </x:c>
      <x:c r="B589" s="8" t="str">
        <x:v>Boston Yoga Union Back Bay</x:v>
      </x:c>
      <x:c r="C589" s="8" t="str">
        <x:v>timezone before evidence</x:v>
      </x:c>
      <x:c r="D589" s="8" t="str">
        <x:v>Initial browser AX output at 20:28:36 UTC, owned tab 25: Los Angeles GMT-7; October 6 Vinyasa shown 4:00am and 6:30am. Before screenshot not saved; this is tool-observed evidence</x:v>
      </x:c>
    </x:row>
    <x:row r="590" ht="38" customHeight="1">
      <x:c r="A590" s="13" t="str">
        <x:v>F3</x:v>
      </x:c>
      <x:c r="B590" s="13" t="str">
        <x:v>Boston Yoga Union Back Bay</x:v>
      </x:c>
      <x:c r="C590" s="13" t="str">
        <x:v>timezone after evidence</x:v>
      </x:c>
      <x:c r="D590" s="13" t="str">
        <x:v>New York GMT-4 verified in saved page text and screenshot; same October 6 Vinyasa classes at 7:00am and 9:30am</x:v>
      </x:c>
    </x:row>
    <x:row r="591" ht="34" customHeight="1">
      <x:c r="A591" s="8" t="str">
        <x:v>F3</x:v>
      </x:c>
      <x:c r="B591" s="8" t="str">
        <x:v>Boston Yoga Union Back Bay</x:v>
      </x:c>
      <x:c r="C591" s="8" t="str">
        <x:v>location</x:v>
      </x:c>
      <x:c r="D591" s="8" t="str">
        <x:v>364 Boylston Street, second floor, Boston, MA</x:v>
      </x:c>
    </x:row>
    <x:row r="592" ht="34" customHeight="1">
      <x:c r="A592" s="13" t="str">
        <x:v>F3</x:v>
      </x:c>
      <x:c r="B592" s="13" t="str">
        <x:v>Boston Yoga Union Back Bay</x:v>
      </x:c>
      <x:c r="C592" s="13" t="str">
        <x:v>scenario</x:v>
      </x:c>
      <x:c r="D592" s="13" t="str">
        <x:v>One adult group fitness class, October 6–10 2026</x:v>
      </x:c>
    </x:row>
    <x:row r="593" ht="34" customHeight="1">
      <x:c r="A593" s="8" t="str">
        <x:v>F3</x:v>
      </x:c>
      <x:c r="B593" s="8" t="str">
        <x:v>Boston Yoga Union Back Bay</x:v>
      </x:c>
      <x:c r="C593" s="8" t="str">
        <x:v>start utc</x:v>
      </x:c>
      <x:c r="D593" s="8" t="str">
        <x:v>UTC 2026-10-04T20:28:26.869Z</x:v>
      </x:c>
    </x:row>
    <x:row r="594" ht="34" customHeight="1">
      <x:c r="A594" s="13" t="str">
        <x:v>F3</x:v>
      </x:c>
      <x:c r="B594" s="13" t="str">
        <x:v>Boston Yoga Union Back Bay</x:v>
      </x:c>
      <x:c r="C594" s="13" t="str">
        <x:v>stop utc</x:v>
      </x:c>
      <x:c r="D594" s="13" t="str">
        <x:v>UTC 2026-10-04T20:29:30.094Z</x:v>
      </x:c>
    </x:row>
    <x:row r="595" ht="34" customHeight="1">
      <x:c r="A595" s="8" t="str">
        <x:v>F3</x:v>
      </x:c>
      <x:c r="B595" s="8" t="str">
        <x:v>Boston Yoga Union Back Bay</x:v>
      </x:c>
      <x:c r="C595" s="8" t="str">
        <x:v>elapsed seconds</x:v>
      </x:c>
      <x:c r="D595" s="8" t="n">
        <x:v>63.225</x:v>
      </x:c>
    </x:row>
    <x:row r="596" ht="34" customHeight="1">
      <x:c r="A596" s="13" t="str">
        <x:v>F3</x:v>
      </x:c>
      <x:c r="B596" s="13" t="str">
        <x:v>Boston Yoga Union Back Bay</x:v>
      </x:c>
      <x:c r="C596" s="13" t="str">
        <x:v>first url</x:v>
      </x:c>
      <x:c r="D596" s="13" t="str">
        <x:v>https://bostonyogaunion.com/back-bay-yoga</x:v>
      </x:c>
    </x:row>
    <x:row r="597" ht="34" customHeight="1">
      <x:c r="A597" s="8" t="str">
        <x:v>F3</x:v>
      </x:c>
      <x:c r="B597" s="8" t="str">
        <x:v>Boston Yoga Union Back Bay</x:v>
      </x:c>
      <x:c r="C597" s="8" t="str">
        <x:v>endpoint url</x:v>
      </x:c>
      <x:c r="D597" s="8" t="str">
        <x:v>https://bostonyogaunion.com/back-bay-yoga</x:v>
      </x:c>
    </x:row>
    <x:row r="598" ht="90" customHeight="1">
      <x:c r="A598" s="13" t="str">
        <x:v>F3</x:v>
      </x:c>
      <x:c r="B598" s="13" t="str">
        <x:v>Boston Yoga Union Back Bay</x:v>
      </x:c>
      <x:c r="C598" s="13" t="str">
        <x:v>path</x:v>
      </x:c>
      <x:c r="D598" s="13" t="str">
        <x:v>Back Bay page
Embedded Momence schedule
Change Los Angeles GMT-7 to New York GMT-4
Back Bay filter
Tuesday Oct6
Stop before class-specific Book now</x:v>
      </x:c>
    </x:row>
    <x:row r="599" ht="38" customHeight="1">
      <x:c r="A599" s="8" t="str">
        <x:v>F3</x:v>
      </x:c>
      <x:c r="B599" s="8" t="str">
        <x:v>Boston Yoga Union Back Bay</x:v>
      </x:c>
      <x:c r="C599" s="8" t="str">
        <x:v>endpoint</x:v>
      </x:c>
      <x:c r="D599" s="8" t="str">
        <x:v>Public dated timetable and class-specific Book now links/buttons; no class-specific control clicked because effect on inventory/hold was not established</x:v>
      </x:c>
    </x:row>
    <x:row r="600" ht="34" customHeight="1">
      <x:c r="A600" s="13" t="str">
        <x:v>F3</x:v>
      </x:c>
      <x:c r="B600" s="13" t="str">
        <x:v>Boston Yoga Union Back Bay</x:v>
      </x:c>
      <x:c r="C600" s="13" t="str">
        <x:v>endpoint class</x:v>
      </x:c>
      <x:c r="D600" s="13" t="str">
        <x:v>stopped_at_safe_slot_selection_boundary</x:v>
      </x:c>
    </x:row>
    <x:row r="601" ht="34" customHeight="1">
      <x:c r="A601" s="8" t="str">
        <x:v>F3</x:v>
      </x:c>
      <x:c r="B601" s="8" t="str">
        <x:v>Boston Yoga Union Back Bay</x:v>
      </x:c>
      <x:c r="C601" s="8" t="str">
        <x:v>public availability kind</x:v>
      </x:c>
      <x:c r="D601" s="8" t="str">
        <x:v>Dated class timetable with Book now controls, not confirmed bookable inventory</x:v>
      </x:c>
    </x:row>
    <x:row r="602" ht="34" customHeight="1">
      <x:c r="A602" s="13" t="str">
        <x:v>F3</x:v>
      </x:c>
      <x:c r="B602" s="13" t="str">
        <x:v>Boston Yoga Union Back Bay</x:v>
      </x:c>
      <x:c r="C602" s="13" t="str">
        <x:v>observed dates</x:v>
      </x:c>
      <x:c r="D602" s="13" t="str">
        <x:v>Tuesday Oct6 selected; Oct4–10 date tabs visible</x:v>
      </x:c>
    </x:row>
    <x:row r="603" ht="51" customHeight="1">
      <x:c r="A603" s="8" t="str">
        <x:v>F3</x:v>
      </x:c>
      <x:c r="B603" s="8" t="str">
        <x:v>Boston Yoga Union Back Bay</x:v>
      </x:c>
      <x:c r="C603" s="8" t="str">
        <x:v>observed slots or timetable</x:v>
      </x:c>
      <x:c r="D603" s="8" t="str">
        <x:v>October 6 New York time: Vinyasa Flow 7:00am, 60 minutes; Vinyasa Flow 9:30am, 75 minutes; Gentle Yoga 11:15am, 60 minutes; Align &amp; Flow 4:00pm, 75 minutes; Align 5:45pm, 75 minutes; Vinyasa Flow 6:00pm, 75 minutes; Vinyasa Flow 7:30pm, 60 minutes. Union Sculpt 7:15pm, 45 minutes, cancelled/disabled</x:v>
      </x:c>
    </x:row>
    <x:row r="604" ht="34" customHeight="1">
      <x:c r="A604" s="13" t="str">
        <x:v>F3</x:v>
      </x:c>
      <x:c r="B604" s="13" t="str">
        <x:v>Boston Yoga Union Back Bay</x:v>
      </x:c>
      <x:c r="C604" s="13" t="str">
        <x:v>price</x:v>
      </x:c>
      <x:c r="D604" s="13" t="str">
        <x:v>$49 introductory three-week unlimited offer; no single-class price on inspected schedule</x:v>
      </x:c>
    </x:row>
    <x:row r="605" ht="77" customHeight="1">
      <x:c r="A605" s="8" t="str">
        <x:v>F3</x:v>
      </x:c>
      <x:c r="B605" s="8" t="str">
        <x:v>Boston Yoga Union Back Bay</x:v>
      </x:c>
      <x:c r="C605" s="8" t="str">
        <x:v>requirements in sequence</x:v>
      </x:c>
      <x:c r="D605" s="8" t="str">
        <x:v>Timezone verification
Location filter
Date
Class-specific Book now (not clicked)
Account/waiver/payment/checkout requirements untested</x:v>
      </x:c>
    </x:row>
    <x:row r="606" ht="34" customHeight="1">
      <x:c r="A606" s="13" t="str">
        <x:v>F3</x:v>
      </x:c>
      <x:c r="B606" s="13" t="str">
        <x:v>Boston Yoga Union Back Bay</x:v>
      </x:c>
      <x:c r="C606" s="13" t="str">
        <x:v>returning customer evidence</x:v>
      </x:c>
      <x:c r="D606" s="13" t="str">
        <x:v>No login/rebooking flow tested</x:v>
      </x:c>
    </x:row>
    <x:row r="607" ht="34" customHeight="1">
      <x:c r="A607" s="8" t="str">
        <x:v>F3</x:v>
      </x:c>
      <x:c r="B607" s="8" t="str">
        <x:v>Boston Yoga Union Back Bay</x:v>
      </x:c>
      <x:c r="C607" s="8" t="str">
        <x:v>environment failures</x:v>
      </x:c>
      <x:c r="D607" s="8" t="str"/>
    </x:row>
    <x:row r="608" ht="38" customHeight="1">
      <x:c r="A608" s="13" t="str">
        <x:v>F3</x:v>
      </x:c>
      <x:c r="B608" s="13" t="str">
        <x:v>Boston Yoga Union Back Bay</x:v>
      </x:c>
      <x:c r="C608" s="13" t="str">
        <x:v>scenario deviations</x:v>
      </x:c>
      <x:c r="D608" s="13" t="str">
        <x:v>Momence-backed studio instead of initial Mindbody-style example. Browser displayed Los Angeles time initially; corrected to NewYork. Earliest target day chosen, not all dates exhaustively inspected</x:v>
      </x:c>
    </x:row>
    <x:row r="609" ht="34" customHeight="1">
      <x:c r="A609" s="8" t="str">
        <x:v>F3</x:v>
      </x:c>
      <x:c r="B609" s="8" t="str">
        <x:v>Boston Yoga Union Back Bay</x:v>
      </x:c>
      <x:c r="C609" s="8" t="str">
        <x:v>success</x:v>
      </x:c>
      <x:c r="D609" s="8" t="str">
        <x:v>UNKNOWN</x:v>
      </x:c>
    </x:row>
    <x:row r="610" ht="34" customHeight="1">
      <x:c r="A610" s="13" t="str">
        <x:v>F3</x:v>
      </x:c>
      <x:c r="B610" s="13" t="str">
        <x:v>Boston Yoga Union Back Bay</x:v>
      </x:c>
      <x:c r="C610" s="13" t="str">
        <x:v>completed booking</x:v>
      </x:c>
      <x:c r="D610" s="30" t="b">
        <x:v>0</x:v>
      </x:c>
    </x:row>
    <x:row r="611" ht="34" customHeight="1">
      <x:c r="A611" s="8" t="str">
        <x:v>F3</x:v>
      </x:c>
      <x:c r="B611" s="8" t="str">
        <x:v>Boston Yoga Union Back Bay</x:v>
      </x:c>
      <x:c r="C611" s="8" t="str">
        <x:v>observed booking platform</x:v>
      </x:c>
      <x:c r="D611" s="8" t="str">
        <x:v>Momence</x:v>
      </x:c>
    </x:row>
    <x:row r="612" ht="38" customHeight="1">
      <x:c r="A612" s="13" t="str">
        <x:v>F3</x:v>
      </x:c>
      <x:c r="B612" s="13" t="str">
        <x:v>Boston Yoga Union Back Bay</x:v>
      </x:c>
      <x:c r="C612" s="13" t="str">
        <x:v>localization assessment</x:v>
      </x:c>
      <x:c r="D612" s="13" t="str">
        <x:v>BackBay filter and NewYorkGMT−4 explicitly selected; location-specific timetable. No reservable-capacity or single-class-price proof.</x:v>
      </x:c>
    </x:row>
    <x:row r="613" ht="34" customHeight="1">
      <x:c r="A613" s="8" t="str">
        <x:v>F3</x:v>
      </x:c>
      <x:c r="B613" s="8" t="str">
        <x:v>Boston Yoga Union Back Bay</x:v>
      </x:c>
      <x:c r="C613" s="8" t="str">
        <x:v>booking success</x:v>
      </x:c>
      <x:c r="D613" s="8" t="str">
        <x:v>UNKNOWN</x:v>
      </x:c>
    </x:row>
    <x:row r="614" ht="34" customHeight="1">
      <x:c r="A614" s="13" t="str">
        <x:v>F3</x:v>
      </x:c>
      <x:c r="B614" s="13" t="str">
        <x:v>Boston Yoga Union Back Bay</x:v>
      </x:c>
      <x:c r="C614" s="13" t="str">
        <x:v>booking submitted</x:v>
      </x:c>
      <x:c r="D614" s="30" t="b">
        <x:v>0</x:v>
      </x:c>
    </x:row>
    <x:row r="615" ht="34" customHeight="1">
      <x:c r="A615" s="8" t="str">
        <x:v>F3</x:v>
      </x:c>
      <x:c r="B615" s="8" t="str">
        <x:v>Boston Yoga Union Back Bay</x:v>
      </x:c>
      <x:c r="C615" s="8" t="str">
        <x:v>phone call required</x:v>
      </x:c>
      <x:c r="D615" s="8" t="str">
        <x:v>UNKNOWN</x:v>
      </x:c>
    </x:row>
    <x:row r="616" ht="34" customHeight="1">
      <x:c r="A616" s="13" t="str">
        <x:v>F3</x:v>
      </x:c>
      <x:c r="B616" s="13" t="str">
        <x:v>Boston Yoga Union Back Bay</x:v>
      </x:c>
      <x:c r="C616" s="13" t="str">
        <x:v>api access tested</x:v>
      </x:c>
      <x:c r="D616" s="30" t="b">
        <x:v>0</x:v>
      </x:c>
    </x:row>
    <x:row r="617" ht="34" customHeight="1">
      <x:c r="A617" s="8" t="str">
        <x:v>F3</x:v>
      </x:c>
      <x:c r="B617" s="8" t="str">
        <x:v>Boston Yoga Union Back Bay</x:v>
      </x:c>
      <x:c r="C617" s="8" t="str">
        <x:v>initial url</x:v>
      </x:c>
      <x:c r="D617" s="8" t="str">
        <x:v>https://bostonyogaunion.com/back-bay-yoga</x:v>
      </x:c>
    </x:row>
    <x:row r="618" ht="34" customHeight="1">
      <x:c r="A618" s="13" t="str">
        <x:v>F3</x:v>
      </x:c>
      <x:c r="B618" s="13" t="str">
        <x:v>Boston Yoga Union Back Bay</x:v>
      </x:c>
      <x:c r="C618" s="13" t="str">
        <x:v>final safe url</x:v>
      </x:c>
      <x:c r="D618" s="13" t="str">
        <x:v>https://bostonyogaunion.com/back-bay-yoga</x:v>
      </x:c>
    </x:row>
    <x:row r="619" ht="38" customHeight="1">
      <x:c r="A619" s="8" t="str">
        <x:v>F3</x:v>
      </x:c>
      <x:c r="B619" s="8" t="str">
        <x:v>Boston Yoga Union Back Bay</x:v>
      </x:c>
      <x:c r="C619" s="8" t="str">
        <x:v>final state normalized</x:v>
      </x:c>
      <x:c r="D619" s="8" t="str">
        <x:v>Public dated timetable and class-specific Book now links/buttons; no class-specific control clicked because effect on inventory/hold was not established</x:v>
      </x:c>
    </x:row>
    <x:row r="620" ht="38" customHeight="1">
      <x:c r="A620" s="13" t="str">
        <x:v>F3</x:v>
      </x:c>
      <x:c r="B620" s="13" t="str">
        <x:v>Boston Yoga Union Back Bay</x:v>
      </x:c>
      <x:c r="C620" s="13" t="str">
        <x:v>channels used</x:v>
      </x:c>
      <x:c r="D620" s="13" t="str">
        <x:v>public provider website
Momence public web interface</x:v>
      </x:c>
    </x:row>
    <x:row r="621" ht="38" customHeight="1">
      <x:c r="A621" s="8" t="str">
        <x:v>F3</x:v>
      </x:c>
      <x:c r="B621" s="8" t="str">
        <x:v>Boston Yoga Union Back Bay</x:v>
      </x:c>
      <x:c r="C621" s="8" t="str">
        <x:v>rail effect hypothesis</x:v>
      </x:c>
      <x:c r="D621" s="8" t="str">
        <x:v>Normalize venue, timezone, class and cancellation status. Explicit timezone and real capacity are essential; booking, waiver and payment requirements remain untested.</x:v>
      </x:c>
    </x:row>
    <x:row r="622" ht="34" customHeight="1">
      <x:c r="A622" s="13" t="str">
        <x:v>F3</x:v>
      </x:c>
      <x:c r="B622" s="13" t="str">
        <x:v>Boston Yoga Union Back Bay</x:v>
      </x:c>
      <x:c r="C622" s="13" t="str">
        <x:v>price visibility code</x:v>
      </x:c>
      <x:c r="D622" s="13" t="str">
        <x:v>no_scenario_service_price_observed</x:v>
      </x:c>
    </x:row>
    <x:row r="623" ht="34" customHeight="1">
      <x:c r="A623" s="8" t="str">
        <x:v>F3</x:v>
      </x:c>
      <x:c r="B623" s="8" t="str">
        <x:v>Boston Yoga Union Back Bay</x:v>
      </x:c>
      <x:c r="C623" s="8" t="str">
        <x:v>date display code</x:v>
      </x:c>
      <x:c r="D623" s="8" t="str">
        <x:v>dated_class_timetable</x:v>
      </x:c>
    </x:row>
    <x:row r="624" ht="34" customHeight="1">
      <x:c r="A624" s="13" t="str">
        <x:v>Study</x:v>
      </x:c>
      <x:c r="B624" s="13" t="str">
        <x:v>methodology</x:v>
      </x:c>
      <x:c r="C624" s="13" t="str">
        <x:v>inspection_date</x:v>
      </x:c>
      <x:c r="D624" s="13" t="str">
        <x:v>2026-10-04</x:v>
      </x:c>
    </x:row>
    <x:row r="625" ht="34" customHeight="1">
      <x:c r="A625" s="8" t="str">
        <x:v>Study</x:v>
      </x:c>
      <x:c r="B625" s="8" t="str">
        <x:v>methodology</x:v>
      </x:c>
      <x:c r="C625" s="8" t="str">
        <x:v>market</x:v>
      </x:c>
      <x:c r="D625" s="8" t="str">
        <x:v>Boston metropolitan area, Massachusetts, US</x:v>
      </x:c>
    </x:row>
    <x:row r="626" ht="34" customHeight="1">
      <x:c r="A626" s="13" t="str">
        <x:v>Study</x:v>
      </x:c>
      <x:c r="B626" s="13" t="str">
        <x:v>methodology</x:v>
      </x:c>
      <x:c r="C626" s="13" t="str">
        <x:v>scenario_window</x:v>
      </x:c>
      <x:c r="D626" s="13" t="str">
        <x:v>2026-10-06 through2026-10-10</x:v>
      </x:c>
    </x:row>
    <x:row r="627" ht="34" customHeight="1">
      <x:c r="A627" s="8" t="str">
        <x:v>Study</x:v>
      </x:c>
      <x:c r="B627" s="8" t="str">
        <x:v>methodology</x:v>
      </x:c>
      <x:c r="C627" s="8" t="str">
        <x:v>timezone</x:v>
      </x:c>
      <x:c r="D627" s="8" t="str">
        <x:v>America/New_York</x:v>
      </x:c>
    </x:row>
    <x:row r="628" ht="38" customHeight="1">
      <x:c r="A628" s="13" t="str">
        <x:v>Study</x:v>
      </x:c>
      <x:c r="B628" s="13" t="str">
        <x:v>methodology</x:v>
      </x:c>
      <x:c r="C628" s="13" t="str">
        <x:v>design</x:v>
      </x:c>
      <x:c r="D628" s="13" t="str">
        <x:v>Purposive precommit public-flow inspections of3providers in each of5hypothesis categories; not empirically top5 demand, representative sampling, or independent-agent replication.</x:v>
      </x:c>
    </x:row>
    <x:row r="629" ht="34" customHeight="1">
      <x:c r="A629" s="8" t="str">
        <x:v>Study</x:v>
      </x:c>
      <x:c r="B629" s="8" t="str">
        <x:v>methodology</x:v>
      </x:c>
      <x:c r="C629" s="8" t="str">
        <x:v>browser</x:v>
      </x:c>
      <x:c r="D629" s="8" t="str">
        <x:v>dot cloud browser only</x:v>
      </x:c>
    </x:row>
    <x:row r="630" ht="64" customHeight="1">
      <x:c r="A630" s="13" t="str">
        <x:v>Study</x:v>
      </x:c>
      <x:c r="B630" s="13" t="str">
        <x:v>methodology</x:v>
      </x:c>
      <x:c r="C630" s="13" t="str">
        <x:v>authorization_boundary</x:v>
      </x:c>
      <x:c r="D630" s="13" t="str">
        <x:v>No real or fabricated identity/address/vehicle/pet profile submitted; no login/signup, communications, quote submissions, explicit time-slot booking, reservation requests, payments or commitments. Generic Boston ZIP02116 used in cleaning as a hypothetical market filter only. Some widgets auto-selected default times; hold semantics unverified.</x:v>
      </x:c>
    </x:row>
    <x:row r="631" ht="64" customHeight="1">
      <x:c r="A631" s="8" t="str">
        <x:v>Study</x:v>
      </x:c>
      <x:c r="B631" s="8" t="str">
        <x:v>methodology</x:v>
      </x:c>
      <x:c r="C631" s="8" t="str">
        <x:v>timing</x:v>
      </x:c>
      <x:c r="D631" s="8" t="str">
        <x:v>Actual first-provider-load to observed stop wall clock using UTC timestamps. Search discovery excluded. Includes model/tool/browser latency, observer decisions, and listed recovery delays. Not time-to-book and not a human benchmark. Booking entry time not consistently logged. Clock differences are verified but precision does not imply experimental comparability.</x:v>
      </x:c>
    </x:row>
    <x:row r="632" ht="77" customHeight="1">
      <x:c r="A632" s="13" t="str">
        <x:v>Study</x:v>
      </x:c>
      <x:c r="B632" s="13" t="str">
        <x:v>methodology</x:v>
      </x:c>
      <x:c r="C632" s="13" t="str">
        <x:v>known_timing_confounders</x:v>
      </x:c>
      <x:c r="D632" s="13" t="str">
        <x:v>Petco187.722s includes independent PetSmart67.594s while awaiting permission recovery; overlapping timers are not additive
Unmess202.196s includes tool-approval pause/reporting and one successful context-authorized screenshot retry
Orangetheory134.140s includes tool-approval pause/reporting and successful retry
MaidSailors14.269sZIP verification addendum excluded from primary106.914s measure</x:v>
      </x:c>
    </x:row>
    <x:row r="633" ht="51" customHeight="1">
      <x:c r="A633" s="8" t="str">
        <x:v>Study</x:v>
      </x:c>
      <x:c r="B633" s="8" t="str">
        <x:v>methodology</x:v>
      </x:c>
      <x:c r="C633" s="8" t="str">
        <x:v>denominators</x:v>
      </x:c>
      <x:c r="D633" s="8" t="str">
        <x:v>15core provider-flow observations;1separate stale discovery failure;1localization addendum. 0bookings submitted by protocol, not0%booking success. Success, actual phone necessity, abandonment, cancellations and API availability unmeasured.</x:v>
      </x:c>
    </x:row>
    <x:row r="634" ht="34" customHeight="1">
      <x:c r="A634" s="13" t="str">
        <x:v>Study</x:v>
      </x:c>
      <x:c r="B634" s="13" t="str">
        <x:v>counts</x:v>
      </x:c>
      <x:c r="C634" s="13" t="str">
        <x:v>core_observations</x:v>
      </x:c>
      <x:c r="D634" s="13" t="n">
        <x:v>15</x:v>
      </x:c>
    </x:row>
    <x:row r="635" ht="34" customHeight="1">
      <x:c r="A635" s="8" t="str">
        <x:v>Study</x:v>
      </x:c>
      <x:c r="B635" s="8" t="str">
        <x:v>counts</x:v>
      </x:c>
      <x:c r="C635" s="8" t="str">
        <x:v>distinct_core_providers</x:v>
      </x:c>
      <x:c r="D635" s="8" t="n">
        <x:v>15</x:v>
      </x:c>
    </x:row>
    <x:row r="636" ht="34" customHeight="1">
      <x:c r="A636" s="13" t="str">
        <x:v>Study</x:v>
      </x:c>
      <x:c r="B636" s="13" t="str">
        <x:v>counts</x:v>
      </x:c>
      <x:c r="C636" s="13" t="str">
        <x:v>categories</x:v>
      </x:c>
      <x:c r="D636" s="13" t="n">
        <x:v>5</x:v>
      </x:c>
    </x:row>
    <x:row r="637" ht="34" customHeight="1">
      <x:c r="A637" s="8" t="str">
        <x:v>Study</x:v>
      </x:c>
      <x:c r="B637" s="8" t="str">
        <x:v>counts</x:v>
      </x:c>
      <x:c r="C637" s="8" t="str">
        <x:v>core_per_category</x:v>
      </x:c>
      <x:c r="D637" s="8" t="n">
        <x:v>3</x:v>
      </x:c>
    </x:row>
    <x:row r="638" ht="34" customHeight="1">
      <x:c r="A638" s="13" t="str">
        <x:v>Study</x:v>
      </x:c>
      <x:c r="B638" s="13" t="str">
        <x:v>counts</x:v>
      </x:c>
      <x:c r="C638" s="13" t="str">
        <x:v>extra_failed_discovery_entries</x:v>
      </x:c>
      <x:c r="D638" s="13" t="n">
        <x:v>1</x:v>
      </x:c>
    </x:row>
    <x:row r="639" ht="34" customHeight="1">
      <x:c r="A639" s="8" t="str">
        <x:v>Study</x:v>
      </x:c>
      <x:c r="B639" s="8" t="str">
        <x:v>counts</x:v>
      </x:c>
      <x:c r="C639" s="8" t="str">
        <x:v>localized_addenda</x:v>
      </x:c>
      <x:c r="D639" s="8" t="n">
        <x:v>1</x:v>
      </x:c>
    </x:row>
    <x:row r="640" ht="34" customHeight="1">
      <x:c r="A640" s="13" t="str">
        <x:v>Study</x:v>
      </x:c>
      <x:c r="B640" s="13" t="str">
        <x:v>counts</x:v>
      </x:c>
      <x:c r="C640" s="13" t="str">
        <x:v>bookings_submitted</x:v>
      </x:c>
      <x:c r="D640" s="13" t="n">
        <x:v>0</x:v>
      </x:c>
    </x:row>
    <x:row r="641" ht="34" customHeight="1">
      <x:c r="A641" s="8" t="str">
        <x:v>Study</x:v>
      </x:c>
      <x:c r="B641" s="8" t="str">
        <x:v>counts</x:v>
      </x:c>
      <x:c r="C641" s="8" t="str">
        <x:v>completion_rate</x:v>
      </x:c>
      <x:c r="D641" s="8" t="str">
        <x:v>Unavailable</x:v>
      </x:c>
    </x:row>
    <x:row r="642" ht="34" customHeight="1">
      <x:c r="A642" s="13" t="str">
        <x:v>Study</x:v>
      </x:c>
      <x:c r="B642" s="13" t="str">
        <x:v>counts</x:v>
      </x:c>
      <x:c r="C642" s="13" t="str">
        <x:v>phone_required_rate</x:v>
      </x:c>
      <x:c r="D642" s="13" t="str">
        <x:v>Unavailable</x:v>
      </x:c>
    </x:row>
    <x:row r="643" ht="38" customHeight="1">
      <x:c r="A643" s="8" t="str">
        <x:v>Study</x:v>
      </x:c>
      <x:c r="B643" s="8" t="str">
        <x:v>counts</x:v>
      </x:c>
      <x:c r="C643" s="8" t="str">
        <x:v>observed_named_scheduling_products</x:v>
      </x:c>
      <x:c r="D643" s="8" t="n">
        <x:v>8</x:v>
      </x:c>
    </x:row>
    <x:row r="644" ht="38" customHeight="1">
      <x:c r="A644" s="13" t="str">
        <x:v>Study</x:v>
      </x:c>
      <x:c r="B644" s="13" t="str">
        <x:v>counts</x:v>
      </x:c>
      <x:c r="C644" s="13" t="str">
        <x:v>providers_with_named_scheduling_product</x:v>
      </x:c>
      <x:c r="D644" s="13" t="n">
        <x:v>8</x:v>
      </x:c>
    </x:row>
    <x:row r="645" ht="38" customHeight="1">
      <x:c r="A645" s="8" t="str">
        <x:v>Study</x:v>
      </x:c>
      <x:c r="B645" s="8" t="str">
        <x:v>counts</x:v>
      </x:c>
      <x:c r="C645" s="8" t="str">
        <x:v>providers_with_unverified_underlying_platform</x:v>
      </x:c>
      <x:c r="D645" s="8" t="n">
        <x:v>7</x:v>
      </x:c>
    </x:row>
    <x:row r="646" ht="116" customHeight="1">
      <x:c r="A646" s="13" t="str">
        <x:v>Study</x:v>
      </x:c>
      <x:c r="B646" s="13" t="str">
        <x:v>counts</x:v>
      </x:c>
      <x:c r="C646" s="13" t="str">
        <x:v>named_scheduling_products</x:v>
      </x:c>
      <x:c r="D646" s="13" t="str">
        <x:v>Launch27
BookingKoala
Booksy
SQUIRE
Square Appointments
Xtime
upace
Momence</x:v>
      </x:c>
    </x:row>
    <x:row r="647" ht="51" customHeight="1">
      <x:c r="A647" s="8" t="str">
        <x:v>Study</x:v>
      </x:c>
      <x:c r="B647" s="8" t="str">
        <x:v>counts</x:v>
      </x:c>
      <x:c r="C647" s="8" t="str">
        <x:v>platform_independence_note</x:v>
      </x:c>
      <x:c r="D647" s="8" t="str">
        <x:v>No named scheduler repeats among the15core providers. Extra stale MBL discovery used SQUIRE. The7unverified underlying systems may overlap. Octane web attribution, Stripe payments, DataDome bot screening and first-party branding are not separately verified booking platforms.</x:v>
      </x:c>
    </x:row>
    <x:row r="648" ht="34" customHeight="1">
      <x:c r="A648" s="13" t="str">
        <x:v>Study</x:v>
      </x:c>
      <x:c r="B648" s="13" t="str">
        <x:v>timezone_evidence</x:v>
      </x:c>
      <x:c r="C648" s="13" t="str">
        <x:v>provider</x:v>
      </x:c>
      <x:c r="D648" s="13" t="str">
        <x:v>BostonYogaUnionBackBay</x:v>
      </x:c>
    </x:row>
    <x:row r="649" ht="51" customHeight="1">
      <x:c r="A649" s="8" t="str">
        <x:v>Study</x:v>
      </x:c>
      <x:c r="B649" s="8" t="str">
        <x:v>timezone_evidence</x:v>
      </x:c>
      <x:c r="C649" s="8" t="str">
        <x:v>before</x:v>
      </x:c>
      <x:c r="D649" s="8" t="str">
        <x:v>mode: Initial actual AX tool observation at20:28:36UTC,tab25;no before screenshot saved
value: LosAngelesGMT−7
examples: October6Vinyasa4:00am and6:30am</x:v>
      </x:c>
    </x:row>
    <x:row r="650" ht="51" customHeight="1">
      <x:c r="A650" s="13" t="str">
        <x:v>Study</x:v>
      </x:c>
      <x:c r="B650" s="13" t="str">
        <x:v>timezone_evidence</x:v>
      </x:c>
      <x:c r="C650" s="13" t="str">
        <x:v>after</x:v>
      </x:c>
      <x:c r="D650" s="13" t="str">
        <x:v>mode: Saved endpoint screenshot andDOM
value: NewYorkGMT−4
examples: SameOctober6Vinyasa7:00am and9:30am</x:v>
      </x:c>
    </x:row>
    <x:row r="651" ht="38" customHeight="1">
      <x:c r="A651" s="8" t="str">
        <x:v>Study</x:v>
      </x:c>
      <x:c r="B651" s="8" t="str">
        <x:v>timezone_evidence</x:v>
      </x:c>
      <x:c r="C651" s="8" t="str">
        <x:v>interpretation</x:v>
      </x:c>
      <x:c r="D651" s="8" t="str">
        <x:v>Three-hour time-display difference in this browser session; not provider scheduling error or proof all users default toLosAngeles.</x:v>
      </x:c>
    </x:row>
    <x:row r="652" ht="51" customHeight="1">
      <x:c r="A652" s="13" t="str">
        <x:v>Study</x:v>
      </x:c>
      <x:c r="B652" s="13" t="str">
        <x:v>Protocol</x:v>
      </x:c>
      <x:c r="C652" s="13" t="str">
        <x:v>raw_evidence_delivery_note</x:v>
      </x:c>
      <x:c r="D652" s="13" t="str">
        <x:v>DOM snapshots are verification intermediates with copied webpage text and occasional analytics URLs. User deliverables should use paraphrases, short relevant screenshots, and safe verified URLs rather than wholesale raw DOM dumps.</x:v>
      </x:c>
    </x:row>
  </x:sheetData>
  <x:pageMargins left="0.7" right="0.7" top="0.75" bottom="0.75" header="0.3" footer="0.3"/>
  <x:tableParts count="1">
    <x:tablePart xmlns:r="http://schemas.openxmlformats.org/officeDocument/2006/relationships" r:id="Rca001c5a46ac42dc"/>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 hidden="0" customWidth="1"/>
    <x:col min="2" max="2" width="29" hidden="0" customWidth="1"/>
    <x:col min="3" max="3" width="76" hidden="0" customWidth="1"/>
    <x:col min="4" max="4" width="80" hidden="0" customWidth="1"/>
    <x:col min="5" max="5" width="35" hidden="0" customWidth="1"/>
  </x:cols>
  <x:sheetData>
    <x:row r="1">
      <x:c r="A1" s="1"/>
      <x:c r="B1" s="1"/>
      <x:c r="C1" s="1"/>
      <x:c r="D1" s="1"/>
      <x:c r="E1" s="1"/>
    </x:row>
    <x:row r="2" ht="26" customHeight="1">
      <x:c r="A2" s="3" t="str">
        <x:v>Minimum viable booking rail</x:v>
      </x:c>
      <x:c r="B2" s="4"/>
      <x:c r="C2" s="4"/>
      <x:c r="D2" s="4"/>
      <x:c r="E2" s="4"/>
    </x:row>
    <x:row r="3">
      <x:c r="A3" s="6" t="str">
        <x:v>15 requirements: 13 P0 and 2 P1. Acceptance evidence below is a release-test proposal, not a test result.</x:v>
      </x:c>
      <x:c r="B3" s="1"/>
      <x:c r="C3" s="1"/>
      <x:c r="D3" s="1"/>
      <x:c r="E3" s="1"/>
    </x:row>
    <x:row r="4">
      <x:c r="A4" s="1"/>
      <x:c r="B4" s="1"/>
      <x:c r="C4" s="1"/>
      <x:c r="D4" s="1"/>
      <x:c r="E4" s="1"/>
    </x:row>
    <x:row r="5" ht="42" customHeight="1">
      <x:c r="A5" s="12" t="str">
        <x:v>ID</x:v>
      </x:c>
      <x:c r="B5" s="12" t="str">
        <x:v>Priority and requirement</x:v>
      </x:c>
      <x:c r="C5" s="12" t="str">
        <x:v>Minimum implementation</x:v>
      </x:c>
      <x:c r="D5" s="12" t="str">
        <x:v>Required acceptance evidence</x:v>
      </x:c>
      <x:c r="E5" s="12" t="str">
        <x:v>Test status</x:v>
      </x:c>
    </x:row>
    <x:row r="6" ht="51" customHeight="1">
      <x:c r="A6" s="13" t="str">
        <x:v>R01</x:v>
      </x:c>
      <x:c r="B6" s="13" t="str">
        <x:v>P0 Access &amp; rights</x:v>
      </x:c>
      <x:c r="C6" s="13" t="str">
        <x:v>Merchant opt-in, correct production entitlement, permitted agent/distribution use case, platform approval where needed, narrowly scoped credentials, revocation procedure</x:v>
      </x:c>
      <x:c r="D6" s="13" t="str">
        <x:v>Consent and contract recorded; two authorized tenants tested; revoked tenant immediately loses service; no shared cross-tenant credentials</x:v>
      </x:c>
      <x:c r="E6" s="13" t="str">
        <x:v>Proposed; not executed in this study</x:v>
      </x:c>
    </x:row>
    <x:row r="7" ht="51" customHeight="1">
      <x:c r="A7" s="8" t="str">
        <x:v>R02</x:v>
      </x:c>
      <x:c r="B7" s="8" t="str">
        <x:v>P0 Capability discovery</x:v>
      </x:c>
      <x:c r="C7" s="8" t="str">
        <x:v>Per provider/service declare quote, slot, request, commit, hold, cancellation, payment, webhook and reschedule capabilities; identify unsupported variants</x:v>
      </x:c>
      <x:c r="D7" s="8" t="str">
        <x:v>Same caller receives explicit unsupported/needs-human result, never silently approximated behavior</x:v>
      </x:c>
      <x:c r="E7" s="8" t="str">
        <x:v>Proposed; not executed in this study</x:v>
      </x:c>
    </x:row>
    <x:row r="8" ht="51" customHeight="1">
      <x:c r="A8" s="13" t="str">
        <x:v>R03</x:v>
      </x:c>
      <x:c r="B8" s="13" t="str">
        <x:v>P0 Service/eligibility model</x:v>
      </x:c>
      <x:c r="C8" s="13" t="str">
        <x:v>Merchant service IDs/version, exact scope, exclusions, required inputs, staff/resource skills, service area, new/existing-client rules, lead times, arrival window versus start time</x:v>
      </x:c>
      <x:c r="D8" s="13" t="str">
        <x:v>Ineligible address, breed/size, vehicle/service, membership or provider pairing cannot reach commit; changed catalog invalidates stale offer</x:v>
      </x:c>
      <x:c r="E8" s="13" t="str">
        <x:v>Proposed; not executed in this study</x:v>
      </x:c>
    </x:row>
    <x:row r="9" ht="51" customHeight="1">
      <x:c r="A9" s="8" t="str">
        <x:v>R04</x:v>
      </x:c>
      <x:c r="B9" s="8" t="str">
        <x:v>P0 Commercial offer</x:v>
      </x:c>
      <x:c r="C9" s="8" t="str">
        <x:v>Itemized currency, base/options/taxes/mandatory fees, deposit versus full amount due, remaining balance, expiration, cancellation/no-show/refund terms; differentiate fixed total/estimate/inspection fee</x:v>
      </x:c>
      <x:c r="D9" s="8" t="str">
        <x:v>Client cannot convert “from $X” or a writable arbitrary unit_price into guaranteed total; offer change requires renewed authorization</x:v>
      </x:c>
      <x:c r="E9" s="8" t="str">
        <x:v>Proposed; not executed in this study</x:v>
      </x:c>
    </x:row>
    <x:row r="10" ht="51" customHeight="1">
      <x:c r="A10" s="13" t="str">
        <x:v>R05</x:v>
      </x:c>
      <x:c r="B10" s="13" t="str">
        <x:v>P0 Live capacity</x:v>
      </x:c>
      <x:c r="C10" s="13" t="str">
        <x:v>Query supplier source of truth; account for full service duration, preparation/cleanup, resources, travel/routing where relevant, closures and time zones</x:v>
      </x:c>
      <x:c r="D10" s="13" t="str">
        <x:v>Two agents target one slot; only valid capacity is committed. DST transition, service duration overrun, same-day cutoffs and provider change tests pass</x:v>
      </x:c>
      <x:c r="E10" s="13" t="str">
        <x:v>Proposed; not executed in this study</x:v>
      </x:c>
    </x:row>
    <x:row r="11" ht="38" customHeight="1">
      <x:c r="A11" s="8" t="str">
        <x:v>R06</x:v>
      </x:c>
      <x:c r="B11" s="8" t="str">
        <x:v>P0 Hold semantics</x:v>
      </x:c>
      <x:c r="C11" s="8" t="str">
        <x:v>Expose holds only when upstream guarantees them; bind hold to tenant/customer/service/price/time; record expiry and release</x:v>
      </x:c>
      <x:c r="D11" s="8" t="str">
        <x:v>Expired or mismatched hold rejected. Abandoned holds released. If no upstream lease exists, UI says unreserved and adapter handles race at commit</x:v>
      </x:c>
      <x:c r="E11" s="8" t="str">
        <x:v>Proposed; not executed in this study</x:v>
      </x:c>
    </x:row>
    <x:row r="12" ht="51" customHeight="1">
      <x:c r="A12" s="13" t="str">
        <x:v>R07</x:v>
      </x:c>
      <x:c r="B12" s="13" t="str">
        <x:v>P0 Exactly-once intent</x:v>
      </x:c>
      <x:c r="C12" s="13" t="str">
        <x:v>Durable middleware idempotency key + immutable request hash + upstream key where supported + outcome lookup; serialize same intent</x:v>
      </x:c>
      <x:c r="D12" s="13" t="str">
        <x:v>Repeated request, concurrent retries, connection loss after successful write and process crash produce one booking/one charge or explicit unresolved state</x:v>
      </x:c>
      <x:c r="E12" s="13" t="str">
        <x:v>Proposed; not executed in this study</x:v>
      </x:c>
    </x:row>
    <x:row r="13" ht="51" customHeight="1">
      <x:c r="A13" s="8" t="str">
        <x:v>R08</x:v>
      </x:c>
      <x:c r="B13" s="8" t="str">
        <x:v>P0 State semantics</x:v>
      </x:c>
      <x:c r="C13" s="8" t="str">
        <x:v>Separate quote/request/waitlist/hold/pending provider/payment required/in-flight/confirmed/failed/unknown; persist upstream identifiers and raw status</x:v>
      </x:c>
      <x:c r="D13" s="8" t="str">
        <x:v>No “confirmed” message after HTTP 200 alone. Accepted record, allocated capacity and required payment conditions checked</x:v>
      </x:c>
      <x:c r="E13" s="8" t="str">
        <x:v>Proposed; not executed in this study</x:v>
      </x:c>
    </x:row>
    <x:row r="14" ht="51" customHeight="1">
      <x:c r="A14" s="13" t="str">
        <x:v>R09</x:v>
      </x:c>
      <x:c r="B14" s="13" t="str">
        <x:v>P0 Payments</x:v>
      </x:c>
      <x:c r="C14" s="13" t="str">
        <x:v>Prefer provider-hosted/tokenized payment flow; preserve merchant-of-record, charge authorization, deposit policy, SCA/verification and receipt/refund links</x:v>
      </x:c>
      <x:c r="D14" s="13" t="str">
        <x:v>Card data absent from agent transcript/logs; payment succeeds+booking fails and booking succeeds+payment fails each have tested compensating/recovery behavior</x:v>
      </x:c>
      <x:c r="E14" s="13" t="str">
        <x:v>Proposed; not executed in this study</x:v>
      </x:c>
    </x:row>
    <x:row r="15" ht="51" customHeight="1">
      <x:c r="A15" s="8" t="str">
        <x:v>R10</x:v>
      </x:c>
      <x:c r="B15" s="8" t="str">
        <x:v>P0 Consent &amp; audit</x:v>
      </x:c>
      <x:c r="C15" s="8" t="str">
        <x:v>Consumer action authorization separated from provider OAuth grant; immutable record of service/price/terms version, acting user/client, recipient, time, scope and result</x:v>
      </x:c>
      <x:c r="D15" s="8" t="str">
        <x:v>Audit can reconstruct exactly who authorized the specific purchase, what was shown and what upstream state resulted without retaining unnecessary sensitive content</x:v>
      </x:c>
      <x:c r="E15" s="8" t="str">
        <x:v>Proposed; not executed in this study</x:v>
      </x:c>
    </x:row>
    <x:row r="16" ht="51" customHeight="1">
      <x:c r="A16" s="13" t="str">
        <x:v>R11</x:v>
      </x:c>
      <x:c r="B16" s="13" t="str">
        <x:v>P0 Notifications</x:v>
      </x:c>
      <x:c r="C16" s="13" t="str">
        <x:v>Verify webhook signatures, deduplicate, tolerate retries/out-of-order events, fetch current authoritative state, retry reconciliation, own notification delivery</x:v>
      </x:c>
      <x:c r="D16" s="13" t="str">
        <x:v>Merchant reschedule/cancel arrives and corrects customer view; spoof/replay rejected; webhook outage repaired without duplicate emails or stale confirmation</x:v>
      </x:c>
      <x:c r="E16" s="13" t="str">
        <x:v>Proposed; not executed in this study</x:v>
      </x:c>
    </x:row>
    <x:row r="17" ht="51" customHeight="1">
      <x:c r="A17" s="8" t="str">
        <x:v>R12</x:v>
      </x:c>
      <x:c r="B17" s="8" t="str">
        <x:v>P0 Cancel/reschedule</x:v>
      </x:c>
      <x:c r="C17" s="8" t="str">
        <x:v>Capability-aware rules; show penalties before committing; prefer atomic reschedule; explicit staged saga if cancel+rebook is necessary</x:v>
      </x:c>
      <x:c r="D17" s="8" t="str">
        <x:v>Lost-new-slot and old-cancel-failed cases preserve accurate status; never claim refund from cancellation response; user notified of residual obligation</x:v>
      </x:c>
      <x:c r="E17" s="8" t="str">
        <x:v>Proposed; not executed in this study</x:v>
      </x:c>
    </x:row>
    <x:row r="18" ht="38" customHeight="1">
      <x:c r="A18" s="13" t="str">
        <x:v>R13</x:v>
      </x:c>
      <x:c r="B18" s="13" t="str">
        <x:v>P0 Exception operations</x:v>
      </x:c>
      <x:c r="C18" s="13" t="str">
        <x:v>Human escalation queue, owner and promised callback, emergency exclusions, bounded retries, vendor outage/credential-expiry kill switches</x:v>
      </x:c>
      <x:c r="D18" s="13" t="str">
        <x:v>Unknown booking is reconciled before retry. No capacity oversell during outage; customer can reach accountable support</x:v>
      </x:c>
      <x:c r="E18" s="13" t="str">
        <x:v>Proposed; not executed in this study</x:v>
      </x:c>
    </x:row>
    <x:row r="19" ht="38" customHeight="1">
      <x:c r="A19" s="8" t="str">
        <x:v>R14</x:v>
      </x:c>
      <x:c r="B19" s="8" t="str">
        <x:v>P1 Reconciliation/health</x:v>
      </x:c>
      <x:c r="C19" s="8" t="str">
        <x:v>Periodic provider-state comparison, webhook lag, last-success timestamp, schema/plan drift, dead-letter queue</x:v>
      </x:c>
      <x:c r="D19" s="8" t="str">
        <x:v>Missed external cancellation and schema change detected; merchant with invalid configuration removed from instant-book inventory</x:v>
      </x:c>
      <x:c r="E19" s="8" t="str">
        <x:v>Proposed; not executed in this study</x:v>
      </x:c>
    </x:row>
    <x:row r="20" ht="51" customHeight="1">
      <x:c r="A20" s="13" t="str">
        <x:v>R15</x:v>
      </x:c>
      <x:c r="B20" s="13" t="str">
        <x:v>P1 Economics instrumentation</x:v>
      </x:c>
      <x:c r="C20" s="13" t="str">
        <x:v>Every attempt logs accesses/calls, booked outcome, failure class, support minutes, payment/refund costs and attribution without inventing conversion</x:v>
      </x:c>
      <x:c r="D20" s="13" t="str">
        <x:v>Direct API benefit compared against equivalent browser/phone task with matched scope; contribution margin calculated from actual invoices and support labor</x:v>
      </x:c>
      <x:c r="E20" s="13" t="str">
        <x:v>Proposed; not executed in this study</x:v>
      </x:c>
    </x:row>
  </x:sheetData>
  <x:pageMargins left="0.7" right="0.7" top="0.75" bottom="0.75" header="0.3" footer="0.3"/>
  <x:tableParts count="1">
    <x:tablePart xmlns:r="http://schemas.openxmlformats.org/officeDocument/2006/relationships" r:id="Rb29d72c1d92b485f"/>
  </x:tableParts>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1" hidden="0" customWidth="1"/>
    <x:col min="2" max="2" width="45" hidden="0" customWidth="1"/>
    <x:col min="3" max="3" width="130" hidden="0" customWidth="1"/>
  </x:cols>
  <x:sheetData>
    <x:row r="1">
      <x:c r="A1" s="1"/>
      <x:c r="B1" s="1"/>
      <x:c r="C1" s="1"/>
    </x:row>
    <x:row r="2" ht="26" customHeight="1">
      <x:c r="A2" s="3" t="str">
        <x:v>Detailed technical findings and operating boundaries</x:v>
      </x:c>
      <x:c r="B2" s="4"/>
      <x:c r="C2" s="4"/>
    </x:row>
    <x:row r="3">
      <x:c r="A3" s="6" t="str">
        <x:v>Primary-source material was reviewed; access mode varies by source. Credentials, commercial permission and execution remain untested.</x:v>
      </x:c>
      <x:c r="B3" s="1"/>
      <x:c r="C3" s="1"/>
    </x:row>
    <x:row r="4">
      <x:c r="A4" s="1"/>
      <x:c r="B4" s="1"/>
      <x:c r="C4" s="1"/>
    </x:row>
    <x:row r="5" ht="42" customHeight="1">
      <x:c r="A5" s="12" t="str">
        <x:v>Evidence stream</x:v>
      </x:c>
      <x:c r="B5" s="12" t="str">
        <x:v>Section / platform</x:v>
      </x:c>
      <x:c r="C5" s="12" t="str">
        <x:v>Technical finding</x:v>
      </x:c>
    </x:row>
    <x:row r="6" ht="64" customHeight="1">
      <x:c r="A6" s="13" t="str">
        <x:v>API review</x:v>
      </x:c>
      <x:c r="B6" s="13" t="str">
        <x:v>Decision summary</x:v>
      </x:c>
      <x:c r="C6" s="13" t="str">
        <x:v>The hypothesis “service bookings lack APIs” is too broad. Several strong rails exist already. A narrower opportunity is to make authorized, merchant-configured, truly bookable inventory accessible to agents with a consistent commercial offer, policy/consent checks and an auditable final outcome. An MCP wrapper alone is increasingly commoditized: Calendly and OnceHub publish native agent scheduling tools. [CAL1, CAL3, ONC1–3]</x:v>
      </x:c>
    </x:row>
    <x:row r="7" ht="64" customHeight="1">
      <x:c r="A7" s="8" t="str">
        <x:v>API review</x:v>
      </x:c>
      <x:c r="B7" s="8" t="str">
        <x:v>Decision summary</x:v>
      </x:c>
      <x:c r="C7" s="8" t="str">
        <x:v>The highest-value diligence question is not “does this software have an API?” It is: Can this application, for this opted-in merchant and service, obtain the correct price and valid capacity, commit exactly once, verify acceptance, and safely change or undo the result? API schemas cannot establish local merchant coverage, consumer demand, willingness to pay, supplier acquisition cost or customer support cost.</x:v>
      </x:c>
    </x:row>
    <x:row r="8" ht="34" customHeight="1">
      <x:c r="A8" s="13" t="str">
        <x:v>API review</x:v>
      </x:c>
      <x:c r="B8" s="13" t="str">
        <x:v>Decision summary</x:v>
      </x:c>
      <x:c r="C8" s="13" t="str">
        <x:v>Three distinctions must remain explicit:</x:v>
      </x:c>
    </x:row>
    <x:row r="9" ht="34" customHeight="1">
      <x:c r="A9" s="8" t="str">
        <x:v>API review</x:v>
      </x:c>
      <x:c r="B9" s="8" t="str">
        <x:v>Decision summary</x:v>
      </x:c>
      <x:c r="C9" s="8" t="str">
        <x:v>1. Public documentation versus an issued production credential and approved use case</x:v>
      </x:c>
    </x:row>
    <x:row r="10" ht="34" customHeight="1">
      <x:c r="A10" s="13" t="str">
        <x:v>API review</x:v>
      </x:c>
      <x:c r="B10" s="13" t="str">
        <x:v>Decision summary</x:v>
      </x:c>
      <x:c r="C10" s="13" t="str">
        <x:v>2. Supplier-admin write privileges versus buyer-safe inventory and purchase privileges</x:v>
      </x:c>
    </x:row>
    <x:row r="11" ht="34" customHeight="1">
      <x:c r="A11" s="8" t="str">
        <x:v>API review</x:v>
      </x:c>
      <x:c r="B11" s="8" t="str">
        <x:v>Decision summary</x:v>
      </x:c>
      <x:c r="C11" s="8" t="str">
        <x:v>3. Request, estimate, waitlist and administrative calendar record versus an accepted service booking</x:v>
      </x:c>
    </x:row>
    <x:row r="12" ht="34" customHeight="1">
      <x:c r="A12" s="13" t="str">
        <x:v>API review</x:v>
      </x:c>
      <x:c r="B12" s="13" t="str">
        <x:v>Evidence legend</x:v>
      </x:c>
      <x:c r="C12" s="13" t="str">
        <x:v>D: document explicitly describes the capability</x:v>
      </x:c>
    </x:row>
    <x:row r="13" ht="34" customHeight="1">
      <x:c r="A13" s="8" t="str">
        <x:v>API review</x:v>
      </x:c>
      <x:c r="B13" s="8" t="str">
        <x:v>Evidence legend</x:v>
      </x:c>
      <x:c r="C13" s="8" t="str">
        <x:v>C: conditional on provider configuration, plan, partner approval or an integration-specific dependency</x:v>
      </x:c>
    </x:row>
    <x:row r="14" ht="34" customHeight="1">
      <x:c r="A14" s="13" t="str">
        <x:v>API review</x:v>
      </x:c>
      <x:c r="B14" s="13" t="str">
        <x:v>Evidence legend</x:v>
      </x:c>
      <x:c r="C14" s="13" t="str">
        <x:v>U: not verified in the reviewed primary sources; this does not prove nonexistence</x:v>
      </x:c>
    </x:row>
    <x:row r="15" ht="38" customHeight="1">
      <x:c r="A15" s="8" t="str">
        <x:v>API review</x:v>
      </x:c>
      <x:c r="B15" s="8" t="str">
        <x:v>Evidence legend</x:v>
      </x:c>
      <x:c r="C15" s="8" t="str">
        <x:v>“Hold” means an expiring reservation of inventory before commitment, not an administrative job-on-hold state or a record edit lock</x:v>
      </x:c>
    </x:row>
    <x:row r="16" ht="38" customHeight="1">
      <x:c r="A16" s="13" t="str">
        <x:v>API review</x:v>
      </x:c>
      <x:c r="B16" s="13" t="str">
        <x:v>Evidence legend</x:v>
      </x:c>
      <x:c r="C16" s="13" t="str">
        <x:v>Prices shown below are published API-access fees, not inferred end-customer ticket sizes, platform take rates or unit economics</x:v>
      </x:c>
    </x:row>
    <x:row r="17" ht="77" customHeight="1">
      <x:c r="A17" s="8" t="str">
        <x:v>API review</x:v>
      </x:c>
      <x:c r="B17" s="8" t="str">
        <x:v>Housecall Pro: home cleaning, lawn care and other field services</x:v>
      </x:c>
      <x:c r="C17" s="8" t="str">
        <x:v>Dimension: Access
Finding: Public developer overview says MAX or XL plans; July 8 help page says MAX. Treat entitlement as a merchant-level verification item. Custom integrations use merchant API keys. OAuth 2.0 is exclusive to official integration partners; verified partners enter contracts, and review is discretionary. A separate Partner Jobs program distributes work orders/leads and is not interchangeable with a confirmed booking API. [HCP1–3]</x:v>
      </x:c>
    </x:row>
    <x:row r="18" ht="77" customHeight="1">
      <x:c r="A18" s="13" t="str">
        <x:v>API review</x:v>
      </x:c>
      <x:c r="B18" s="13" t="str">
        <x:v>Housecall Pro: home cleaning, lawn care and other field services</x:v>
      </x:c>
      <x:c r="C18" s="13" t="str">
        <x:v>Dimension: Availability
Finding: GET /company/schedule_availability/booking_windows is documented. It uses Online Booking configuration and employee open slots; filters include employee_ids, price_form_id and service_id. Explicit service_duration overrides service duration; absent both, default window size is 30 minutes. This is substantially stronger than merely exporting a calendar. [HCP4]</x:v>
      </x:c>
    </x:row>
    <x:row r="19" ht="64" customHeight="1">
      <x:c r="A19" s="8" t="str">
        <x:v>API review</x:v>
      </x:c>
      <x:c r="B19" s="8" t="str">
        <x:v>Housecall Pro: home cleaning, lawn care and other field services</x:v>
      </x:c>
      <x:c r="C19" s="8" t="str">
        <x:v>Dimension: Write/pricing
Finding: POST /jobs requires existing customer_id and address_id; schedule, assigned employees and line items can be supplied. Price-form fields/options can calculate unit_price. Response includes work_status, scheduling and totals. A writable price is not evidence that any agent-provided price is commercially authorized. [HCP5]</x:v>
      </x:c>
    </x:row>
    <x:row r="20" ht="64" customHeight="1">
      <x:c r="A20" s="13" t="str">
        <x:v>API review</x:v>
      </x:c>
      <x:c r="B20" s="13" t="str">
        <x:v>Housecall Pro: home cleaning, lawn care and other field services</x:v>
      </x:c>
      <x:c r="C20" s="13" t="str">
        <x:v>Dimension: Lifecycle
Finding: Public navigation exposes job schedule update/delete and appointment create/update/delete. HCP lists job-created/scheduled/completed/paid and estimate events. Unscheduling/deleting an appointment should not be equated with cancelling the overall job. [HCP1, HCP6]</x:v>
      </x:c>
    </x:row>
    <x:row r="21" ht="64" customHeight="1">
      <x:c r="A21" s="8" t="str">
        <x:v>API review</x:v>
      </x:c>
      <x:c r="B21" s="8" t="str">
        <x:v>Housecall Pro: home cleaning, lawn care and other field services</x:v>
      </x:c>
      <x:c r="C21" s="8" t="str">
        <x:v>Dimension: Gaps
Finding: No expiring inventory hold, native idempotency contract, atomic price-and-capacity commit or universal payment/deposit flow was verified. Confirm service-area/routing enforcement and whether API creation honors all consumer-booking rules in sandbox and a merchant pilot.</x:v>
      </x:c>
    </x:row>
    <x:row r="22" ht="51" customHeight="1">
      <x:c r="A22" s="13" t="str">
        <x:v>API review</x:v>
      </x:c>
      <x:c r="B22" s="13" t="str">
        <x:v>Housecall Pro: home cleaning, lawn care and other field services</x:v>
      </x:c>
      <x:c r="C22" s="13" t="str">
        <x:v>Integration implication: A legitimate conditional home-services pilot is possible. Onboarding must capture merchant service rules, address, price form and routing eligibility. Do not claim a complete direct-booking rail until race conditions, prices, notifications and cancellation are tested.</x:v>
      </x:c>
    </x:row>
    <x:row r="23" ht="64" customHeight="1">
      <x:c r="A23" s="8" t="str">
        <x:v>API review</x:v>
      </x:c>
      <x:c r="B23" s="8" t="str">
        <x:v>Jobber: field-service workflow, booking forms and native AI</x:v>
      </x:c>
      <x:c r="C23" s="8" t="str">
        <x:v>Dimension: Access
Finding: GraphQL with OAuth 2.0 authorization by the business admin; date-versioned requests and rotating tokens. Marketplace apps require review. Private apps may remain unreviewed for up to five paying accounts; access is blocked above that threshold without approval. [JOB1–2]</x:v>
      </x:c>
    </x:row>
    <x:row r="24" ht="64" customHeight="1">
      <x:c r="A24" s="13" t="str">
        <x:v>API review</x:v>
      </x:c>
      <x:c r="B24" s="13" t="str">
        <x:v>Jobber: field-service workflow, booking forms and native AI</x:v>
      </x:c>
      <x:c r="C24" s="13" t="str">
        <x:v>Dimension: Data/availability
Finding: Public overview includes jobs/visits, requests, quotes and bookable service metadata; current mutation schema is inspected in authenticated GraphiQL. This research did not authenticate and therefore does not assert a complete consumer slot-search + job-create contract. [JOB1, JOB3]</x:v>
      </x:c>
    </x:row>
    <x:row r="25" ht="64" customHeight="1">
      <x:c r="A25" s="8" t="str">
        <x:v>API review</x:v>
      </x:c>
      <x:c r="B25" s="8" t="str">
        <x:v>Jobber: field-service workflow, booking forms and native AI</x:v>
      </x:c>
      <x:c r="C25" s="8" t="str">
        <x:v>Dimension: Native booking
Finding: Provider booking forms can schedule an assessment or convert a request into a one-off job. Merchant setup and online-booking configuration determine that distinction. Jobber AI Receptionist can use this native scheduling workflow. [JOB4, JOB6]</x:v>
      </x:c>
    </x:row>
    <x:row r="26" ht="90" customHeight="1">
      <x:c r="A26" s="13" t="str">
        <x:v>API review</x:v>
      </x:c>
      <x:c r="B26" s="13" t="str">
        <x:v>Jobber: field-service workflow, booking forms and native AI</x:v>
      </x:c>
      <x:c r="C26" s="13" t="str">
        <x:v>Dimension: Native MCP limits
Finding: The official ChatGPT/Claude integration, updated October 1, 2026, supports workflow reads and certain customer/request/quote writes, but explicitly cannot create jobs/invoices or add/edit/remove scheduled appointments. It also says automated browser agents are blocked from signing in and directs users to the connector. Do not generalize this MCP limitation to every GraphQL mutation; equally, do not generalize native Receptionist booking to third-party agent access. [JOB5]</x:v>
      </x:c>
    </x:row>
    <x:row r="27" ht="64" customHeight="1">
      <x:c r="A27" s="8" t="str">
        <x:v>API review</x:v>
      </x:c>
      <x:c r="B27" s="8" t="str">
        <x:v>Jobber: field-service workflow, booking forms and native AI</x:v>
      </x:c>
      <x:c r="C27" s="8" t="str">
        <x:v>Dimension: Gaps
Finding: Public evidence did not establish an externally available atomic quote/slot/commit transaction, hold, payment completion or buyer-safe rescheduling API for the proposed startup. Obtain schema and use-case approval before counting it as accessible supply.</x:v>
      </x:c>
    </x:row>
    <x:row r="28" ht="77" customHeight="1">
      <x:c r="A28" s="13" t="str">
        <x:v>API review</x:v>
      </x:c>
      <x:c r="B28" s="13" t="str">
        <x:v>ServiceTitan: field-service capacity and dispatch</x:v>
      </x:c>
      <x:c r="C28" s="13" t="str">
        <x:v>Dimension: Access
Finding: Third parties request access and receive a designated integration environment. They must not register apps by tunneling through a customer's tenant. Public apps require review and tenant enablement; credentials are per tenant, with app key plus OAuth client-credentials tokens. Current FAQ also describes approval for certified-third-party scope changes, despite older general wording saying one-time approval. [ST1–2]</x:v>
      </x:c>
    </x:row>
    <x:row r="29" ht="64" customHeight="1">
      <x:c r="A29" s="8" t="str">
        <x:v>API review</x:v>
      </x:c>
      <x:c r="B29" s="8" t="str">
        <x:v>ServiceTitan: field-service capacity and dispatch</x:v>
      </x:c>
      <x:c r="C29" s="8" t="str">
        <x:v>Dimension: Lead/request versus job
Finding: CRM Bookings_Create uses CRM→Bookings (Write); its object can be New, Converted, Dismissed or Accepted. Separately, Jobs_Create uses JPM→Jobs (Write), requiring customer, location, business unit, job type, priority, campaign and appointment(s). A successful CRM booking request is not proof of a staffed job. [ST3–4]</x:v>
      </x:c>
    </x:row>
    <x:row r="30" ht="64" customHeight="1">
      <x:c r="A30" s="13" t="str">
        <x:v>API review</x:v>
      </x:c>
      <x:c r="B30" s="13" t="str">
        <x:v>ServiceTitan: field-service capacity and dispatch</x:v>
      </x:c>
      <x:c r="C30" s="13" t="str">
        <x:v>Dimension: Capacity
Finding: Native Scheduling Pro/Max is connected to job types, zones and capacity settings. Official operator docs say web submissions may land as leads or booked jobs depending on configuration. Capacity must be configured accurately; online-created jobs can be unassigned. [ST5–6]</x:v>
      </x:c>
    </x:row>
    <x:row r="31" ht="64" customHeight="1">
      <x:c r="A31" s="8" t="str">
        <x:v>API review</x:v>
      </x:c>
      <x:c r="B31" s="8" t="str">
        <x:v>ServiceTitan: field-service capacity and dispatch</x:v>
      </x:c>
      <x:c r="C31" s="8" t="str">
        <x:v>Dimension: Lifecycle
Finding: Current JPM reference exposes appointment creation, confirmation, reschedule/delete and job cancellation. Appointment GET includes scheduled/dispatched/working/hold/done/cancelled and isConfirmed. “Hold” is a job/appointment operational state, not a proven expiring consumer inventory lease. [ST4, ST7]</x:v>
      </x:c>
    </x:row>
    <x:row r="32" ht="64" customHeight="1">
      <x:c r="A32" s="13" t="str">
        <x:v>API review</x:v>
      </x:c>
      <x:c r="B32" s="13" t="str">
        <x:v>ServiceTitan: field-service capacity and dispatch</x:v>
      </x:c>
      <x:c r="C32" s="13" t="str">
        <x:v>Dimension: Gaps
Finding: Public API write capability is real, but this pass did not verify a complete exposed capacity-search-to-atomic-commit contract, payment/deposit linkage, idempotency guarantee or confirmed-booking webhook contract. Do not use administrative job creation to bypass dispatch rules.</x:v>
      </x:c>
    </x:row>
    <x:row r="33" ht="64" customHeight="1">
      <x:c r="A33" s="8" t="str">
        <x:v>API review</x:v>
      </x:c>
      <x:c r="B33" s="8" t="str">
        <x:v>Square Appointments: beauty/barber and other standardized appointments</x:v>
      </x:c>
      <x:c r="C33" s="8" t="str">
        <x:v>Dimension: Access
Finding: Seller authorization is required. “Buyer-level” is a permission level of the seller-connected application, not anonymous write access across all Square merchants. Buyer writes are supported on free Appointments; seller-wide writes require Plus/Premium. Merchant staff must be configured as bookable in Square Dashboard. [SQ1–2]</x:v>
      </x:c>
    </x:row>
    <x:row r="34" ht="64" customHeight="1">
      <x:c r="A34" s="13" t="str">
        <x:v>API review</x:v>
      </x:c>
      <x:c r="B34" s="13" t="str">
        <x:v>Square Appointments: beauty/barber and other standardized appointments</x:v>
      </x:c>
      <x:c r="C34" s="13" t="str">
        <x:v>Dimension: Slot/write
Finding: SearchAvailability plus CreateBooking/UpdateBooking/CancelBooking are documented. Create requires location, UTC start, staff, service-variation ID/version; the normal booking flow also identifies the customer. Buyer permissions prohibit off-hour/double bookings; seller permissions can override these safeguards. [SQ1, SQ3]</x:v>
      </x:c>
    </x:row>
    <x:row r="35" ht="64" customHeight="1">
      <x:c r="A35" s="8" t="str">
        <x:v>API review</x:v>
      </x:c>
      <x:c r="B35" s="8" t="str">
        <x:v>Square Appointments: beauty/barber and other standardized appointments</x:v>
      </x:c>
      <x:c r="C35" s="8" t="str">
        <x:v>Dimension: Price/payment caveats
Finding: Catalog carries service price/duration. Current docs prohibit API creation for a service with a nonzero cancellation/no-show fee. A paid deposit prevents changes to appointment_segments. Those are material exclusions for a beauty MVP; the booking object is not itself a universal checkout API. [SQ2, SQ4]</x:v>
      </x:c>
    </x:row>
    <x:row r="36" ht="64" customHeight="1">
      <x:c r="A36" s="13" t="str">
        <x:v>API review</x:v>
      </x:c>
      <x:c r="B36" s="13" t="str">
        <x:v>Square Appointments: beauty/barber and other standardized appointments</x:v>
      </x:c>
      <x:c r="C36" s="13" t="str">
        <x:v>Dimension: Consistency
Finding: Create/cancel support idempotency keys; booking versions support optimistic concurrency. booking.created/booking.updated events exist, with buyer scopes limited to this app's bookings. Seller-level API writes generate webhooks but do not themselves send SMS/email notifications. [SQ3, SQ5–6]</x:v>
      </x:c>
    </x:row>
    <x:row r="37" ht="51" customHeight="1">
      <x:c r="A37" s="8" t="str">
        <x:v>API review</x:v>
      </x:c>
      <x:c r="B37" s="8" t="str">
        <x:v>Square Appointments: beauty/barber and other standardized appointments</x:v>
      </x:c>
      <x:c r="C37" s="8" t="str">
        <x:v>Dimension: Gaps
Finding: No expiring pre-booking capacity lease verified. Need to respect pending versus accepted status, merchant cancellation window, app booking visibility, deposit/refund policy and notification ownership.</x:v>
      </x:c>
    </x:row>
    <x:row r="38" ht="51" customHeight="1">
      <x:c r="A38" s="13" t="str">
        <x:v>API review</x:v>
      </x:c>
      <x:c r="B38" s="13" t="str">
        <x:v>Square Appointments: beauty/barber and other standardized appointments</x:v>
      </x:c>
      <x:c r="C38" s="13" t="str">
        <x:v>Integration implication: Strong candidate for a technically tractable merchant-opt-in prototype, especially fixed services without unsupported cancellation-fee requirements. This is not evidence of merchant coverage or superiority as a business wedge.</x:v>
      </x:c>
    </x:row>
    <x:row r="39" ht="64" customHeight="1">
      <x:c r="A39" s="8" t="str">
        <x:v>API review</x:v>
      </x:c>
      <x:c r="B39" s="8" t="str">
        <x:v>Mindbody: fitness/classes, wellness and appointment services</x:v>
      </x:c>
      <x:c r="C39" s="8" t="str">
        <x:v>Dimension: Access
Finding: Developer sandbox and go-live approval; each business activates access. Webhooks require live approval and at least one activated business. Distinguish Public/site API, Consumer identity API and Affiliate booking contracts. [MB1–3]</x:v>
      </x:c>
    </x:row>
    <x:row r="40" ht="64" customHeight="1">
      <x:c r="A40" s="13" t="str">
        <x:v>API review</x:v>
      </x:c>
      <x:c r="B40" s="13" t="str">
        <x:v>Mindbody: fitness/classes, wellness and appointment services</x:v>
      </x:c>
      <x:c r="C40" s="13" t="str">
        <x:v>Dimension: Book/write
Finding: Public API supports appointment/class booking and shopping-cart purchase flows. Release notes record staff/resource availability, September 2025 request deduplication for AddAppointment/AddClientToClass, and May 2026 atomic multi-appointment plus add-on creation. These are documented updates, not live success measurements. [MB4]</x:v>
      </x:c>
    </x:row>
    <x:row r="41" ht="90" customHeight="1">
      <x:c r="A41" s="8" t="str">
        <x:v>API review</x:v>
      </x:c>
      <x:c r="B41" s="8" t="str">
        <x:v>Mindbody: fitness/classes, wellness and appointment services</x:v>
      </x:c>
      <x:c r="C41" s="8" t="str">
        <x:v>Dimension: Pricing
Finding: Developer landing page publishes site access at $0.002/call; consumer bookings at $15/location/integration plus $1.30/class and $2.50/appointment, free virtual booking, and stated free-access conditions. Live browser corroboration confirmed these listed fees. FAQ says billing is USD and a connected Site ID incurs fees for every location it represents, including unused ones; scaled/bulk pricing is not currently offered. Confirm exact fee classification/contract before modeling. [MB1, MB6]</x:v>
      </x:c>
    </x:row>
    <x:row r="42" ht="64" customHeight="1">
      <x:c r="A42" s="13" t="str">
        <x:v>API review</x:v>
      </x:c>
      <x:c r="B42" s="13" t="str">
        <x:v>Mindbody: fitness/classes, wellness and appointment services</x:v>
      </x:c>
      <x:c r="C42" s="13" t="str">
        <x:v>Dimension: Reliability
Finding: Affiliate booking documentation specifies optional GUID Idempotency-Key with 24-hour replay behavior; do not assume that same contract applies to Public API. Webhooks distinguish lifecycle events and have activation/delivery management. [MB3, MB5]</x:v>
      </x:c>
    </x:row>
    <x:row r="43" ht="64" customHeight="1">
      <x:c r="A43" s="8" t="str">
        <x:v>API review</x:v>
      </x:c>
      <x:c r="B43" s="8" t="str">
        <x:v>Mindbody: fitness/classes, wellness and appointment services</x:v>
      </x:c>
      <x:c r="C43" s="8" t="str">
        <x:v>Dimension: Gaps
Finding: Entitlements, passes/memberships, late cancellations, waivers, resources and pricing options create complexity beyond a time slot. No universal Public API inventory lease was verified. Payment success and booked/confirmed class/appointment state must be reconciled separately.</x:v>
      </x:c>
    </x:row>
    <x:row r="44" ht="64" customHeight="1">
      <x:c r="A44" s="13" t="str">
        <x:v>API review</x:v>
      </x:c>
      <x:c r="B44" s="13" t="str">
        <x:v>Vagaro: beauty and wellness</x:v>
      </x:c>
      <x:c r="C44" s="13" t="str">
        <x:v>Dimension: Access
Finding: Business APIs/Webhooks require a non-trial account with Credit Card Processing enabled and a request for access; support says activation may take up to seven business days. Published webhook price: $10/month including 5,000 calls and $0.002 each beyond that. This is webhook pricing, not a verified booking-API tariff. [VAG1]</x:v>
      </x:c>
    </x:row>
    <x:row r="45" ht="64" customHeight="1">
      <x:c r="A45" s="8" t="str">
        <x:v>API review</x:v>
      </x:c>
      <x:c r="B45" s="8" t="str">
        <x:v>Vagaro: beauty and wellness</x:v>
      </x:c>
      <x:c r="C45" s="8" t="str">
        <x:v>Dimension: Capabilities
Finding: Public docs expose POST appointments/availability with businessId and bookingItems, read-access token, service/provider/duration/time-slot results. The current public index also exposes appointment retrieval and services. [VAG2–3]</x:v>
      </x:c>
    </x:row>
    <x:row r="46" ht="64" customHeight="1">
      <x:c r="A46" s="13" t="str">
        <x:v>API review</x:v>
      </x:c>
      <x:c r="B46" s="13" t="str">
        <x:v>Vagaro: beauty and wellness</x:v>
      </x:c>
      <x:c r="C46" s="13" t="str">
        <x:v>Dimension: Write gap
Finding: No appointment-create, appointment-reschedule/cancel or payment write endpoint was found in the reviewed public index. Employee/task/product writes do not establish appointment writes. Classify as availability/read + event rail; booking commit U, pending vendor clarification.</x:v>
      </x:c>
    </x:row>
    <x:row r="47" ht="77" customHeight="1">
      <x:c r="A47" s="8" t="str">
        <x:v>API review</x:v>
      </x:c>
      <x:c r="B47" s="8" t="str">
        <x:v>Fresha: beauty and wellness</x:v>
      </x:c>
      <x:c r="C47" s="8" t="str">
        <x:v>The verified integration is a paid Data connector delivering business data to Snowflake-compatible analytics tools. That is reporting/data export, not a transactional live-booking API. This research found no official public booking-write contract. It is correct to mark create/hold/commit/webhooks-as-confirmation U, not to categorically declare that Fresha has no private/partner APIs. A public online booking page also does not establish redistribution or integration permission. [FRE1–2]</x:v>
      </x:c>
    </x:row>
    <x:row r="48" ht="103" customHeight="1">
      <x:c r="A48" s="13" t="str">
        <x:v>API review</x:v>
      </x:c>
      <x:c r="B48" s="13" t="str">
        <x:v>OpenTable: restaurants</x:v>
      </x:c>
      <x:c r="C48" s="13" t="str">
        <x:v>Partner approval is mandatory, with a formal production agreement and API eligibility/pricing dependent on partnership. The Consumer API v2 is for visual interfaces with OpenTable terms acceptance; a separate In-House/Voice AI route serves nonvisual scenarios. Docs include search, five-minute slot locks, reservations and modifications/cancellation. POST/PUT/PATCH use unique X-Request-Id for idempotency. Payment and cancellation-policy fields can require a card hold/prepayment or post-booking action; a confirmation identifier alone need not mean payment obligations are complete. Not all APIs are in the stated sandbox offering. A sophisticated rail exists, but public docs do not mean general public access. [OT1–2]</x:v>
      </x:c>
    </x:row>
    <x:row r="49" ht="90" customHeight="1">
      <x:c r="A49" s="8" t="str">
        <x:v>API review</x:v>
      </x:c>
      <x:c r="B49" s="8" t="str">
        <x:v>Calendly: professional/office meetings</x:v>
      </x:c>
      <x:c r="C49" s="8" t="str">
        <x:v>Paid Standard+ users can use POST /invitees to create a booking with scheduled_events:write; name/email/timezone, event type and UTC time are core data. OAuth is the multitenant route. GET /event_type_available_times and returned management URLs support an agent journey. The AI-agent guide says normal configured workflows and notifications run; it requires a currently valid slot. Native MCP exposes availability, create-invitee and cancellation tools. This is already an agent-ready incumbent rail. Neither arbitrary external-host access nor payment support/slot holds/idempotency were verified by this pass. Reschedule links are verified; do not label those a direct reschedule endpoint. [CAL1–3]</x:v>
      </x:c>
    </x:row>
    <x:row r="50" ht="90" customHeight="1">
      <x:c r="A50" s="13" t="str">
        <x:v>API review</x:v>
      </x:c>
      <x:c r="B50" s="13" t="str">
        <x:v>OnceHub: professional meetings</x:v>
      </x:c>
      <x:c r="C50" s="13" t="str">
        <x:v>OnceHub announced an agent MCP booking server on February 12, 2026, on Schedule plan with API-key authentication. Tools query availability and schedule a meeting; booking respects configured busy time/buffers, with explicit calendar, guest, time and location data. Broader user-facing MCP tools can cancel/request rescheduling, and September updates add pending-meeting approval management. These are vendor-native competitors/possible integrations, not a new missing protocol. Account-specific access remains necessary. Hold/payment/idempotency behavior is U here; the provider can require approval, so distinguish meeting-request and accepted states. [ONC1–4]</x:v>
      </x:c>
    </x:row>
    <x:row r="51" ht="90" customHeight="1">
      <x:c r="A51" s="8" t="str">
        <x:v>API review</x:v>
      </x:c>
      <x:c r="B51" s="8" t="str">
        <x:v>Shopmonkey: auto servicing</x:v>
      </x:c>
      <x:c r="C51" s="8" t="str">
        <x:v>REST v3 documents appointment create, update, delete and confirmation. Creation minimally includes name, color, start/end; customer/vehicle/order/technician associations carry operational context. Admin-created API keys inherit the admin's permissions; although docs use OAuth bearer terminology, the onboarding shown is an account API-key flow, not proven public multimerchant OAuth consent. Signed webhooks and retry headers exist. No authoritative consumer slot-search/resource-capacity or all-in service quote endpoint was verified. Writing an appointment is feasible; guaranteeing a correctly priced, bay/technician/parts-feasible auto service is additional work. [AUTO1–3]</x:v>
      </x:c>
    </x:row>
    <x:row r="52" ht="64" customHeight="1">
      <x:c r="A52" s="13" t="str">
        <x:v>API review</x:v>
      </x:c>
      <x:c r="B52" s="13" t="str">
        <x:v>Tekmetric: auto servicing</x:v>
      </x:c>
      <x:c r="C52" s="13" t="str">
        <x:v>Official help documents installation of a native Online Booking widget. That establishes merchant-facing online scheduling, not general third-party reservation write access. This research did not verify a primary public appointment-write API contract or open production onboarding, so direct integration remains U. Avoid upgrading a widget, private integration testimonial or third-party wrapper into evidence of accessible booking APIs. [AUTO4]</x:v>
      </x:c>
    </x:row>
    <x:row r="53" ht="103" customHeight="1">
      <x:c r="A53" s="8" t="str">
        <x:v>API review</x:v>
      </x:c>
      <x:c r="B53" s="8" t="str">
        <x:v>Gingr: pet grooming/boarding/daycare</x:v>
      </x:c>
      <x:c r="C53" s="8" t="str">
        <x:v>The older public API reference is largely data-oriented; its check-in operation should not be mistaken for a future consumer booking rail. Separately, Gingr Partner API release notes explicitly document reservation creation/update, capacity checks and accepted/confirmed/waitlisted/cancelled webhooks. A newer public OpenAPI index (version 1.8.1) exposes booking creation/update/cancellation, specialist/lodging availability, capacity/forms/agreements/evaluation validation and estimate/checkout operations. Some endpoints are explicitly beta/not production-ready. Do not merge credentials or capability guarantees across these API surfaces. Production eligibility, access terms and which surface is available to a new startup remain unresolved. [PET1–3]</x:v>
      </x:c>
    </x:row>
    <x:row r="54" ht="103" customHeight="1">
      <x:c r="A54" s="13" t="str">
        <x:v>API review</x:v>
      </x:c>
      <x:c r="B54" s="13" t="str">
        <x:v>MoeGo: pet services</x:v>
      </x:c>
      <x:c r="C54" s="13" t="str">
        <x:v>Official pricing places the API platform in Enterprise. MoeGo-published GitHub documentation describes multi-pet appointments, grooming staff versus boarding lodging requirements, reschedule/cancel, and separate appointment/payment states. Critically, documented CreateAppointment defaults ignoreConflict to true and automatic customer messages to false; initial UNCONFIRMED means pending business acceptance. A buyer-safe adapter must explicitly avoid conflict overrides and must verify accepted state and notifications. GitHub verifies that the publishing organization controls moego.pet, establishing publisher provenance. Supported production contract/version and the startup’s actual access still need confirmation. [PET4–6]</x:v>
      </x:c>
    </x:row>
    <x:row r="55" ht="77" customHeight="1">
      <x:c r="A55" s="8" t="str">
        <x:v>API review</x:v>
      </x:c>
      <x:c r="B55" s="8" t="str">
        <x:v>NexHealth and Open Dental: medical/dental</x:v>
      </x:c>
      <x:c r="C55" s="8" t="str">
        <x:v>NexHealth already markets a universal health-record integration rail. Sandbox does not write an EHR; production onboarding requires a paid account and practice-system connection. Appointment insertion is asynchronous: complete/failed/timed_out must be handled. Current PATCH docs support in-place time/operatory/note updates only on Dentrix, Dentrix Enterprise, Eaglesoft and Open Dental; the overview still says only confirm/cancel writes, a documentation inconsistency to resolve in tests. Provider/operatory working hours, patient, location and duration must be mapped. [HEALTH1–4]</x:v>
      </x:c>
    </x:row>
    <x:row r="56" ht="64" customHeight="1">
      <x:c r="A56" s="13" t="str">
        <x:v>API review</x:v>
      </x:c>
      <x:c r="B56" s="13" t="str">
        <x:v>NexHealth and Open Dental: medical/dental</x:v>
      </x:c>
      <x:c r="C56" s="13" t="str">
        <x:v>Open Dental documents slot queries and appointment creation, including a WebSched-specific route dependent on merchant setup/subscription. Regular create requires patient, operatory and appointment time. Version compatibility, developer/customer credentials, eConnector availability and per-customer-key pacing constrain production. These are real APIs, but a medical appointment should not be treated as a commodity priced-service purchase. [HEALTH5–6]</x:v>
      </x:c>
    </x:row>
    <x:row r="57" ht="51" customHeight="1">
      <x:c r="A57" s="8" t="str">
        <x:v>API review</x:v>
      </x:c>
      <x:c r="B57" s="8" t="str">
        <x:v>NexHealth and Open Dental: medical/dental</x:v>
      </x:c>
      <x:c r="C57" s="8" t="str">
        <x:v>DrChrono likewise documents provider-authorized OAuth appointment writes and conflicts; that disproves “medical has no scheduling API,” but does not give coverage across EHRs, patient eligibility or independent consumer authority. [HEALTH7]</x:v>
      </x:c>
    </x:row>
    <x:row r="58" ht="90" customHeight="1">
      <x:c r="A58" s="13" t="str">
        <x:v>API review</x:v>
      </x:c>
      <x:c r="B58" s="13" t="str">
        <x:v>2. Existing distribution and protocol infrastructure</x:v>
      </x:c>
      <x:c r="C58" s="13" t="str">
        <x:v>Google Actions Center is an existing merchant-inventory distribution system. Partners provide merchant/service/availability feeds and implement a booking server; Google invokes it. It is not a general consumer API an arbitrary agent can call to book every provider. Local Services end-to-end requires partnership; Google's published 12–16-week/two-engineer estimate is for that Google integration, not a valid estimate for this startup's MVP. Real-time BookingNotification is mandatory; availability replacement is conditional, and full availability feeds remain part of synchronization. [GOOG1–2]</x:v>
      </x:c>
    </x:row>
    <x:row r="59" ht="51" customHeight="1">
      <x:c r="A59" s="8" t="str">
        <x:v>API review</x:v>
      </x:c>
      <x:c r="B59" s="8" t="str">
        <x:v>2. Existing distribution and protocol infrastructure</x:v>
      </x:c>
      <x:c r="C59" s="8" t="str">
        <x:v>Its documented booking server is a useful reference contract: live availability, create, update, status/list and health check; mutations must be idempotent, and transport success can carry a business failure. Google's contract provides a baseline for the behavior the proposed middleware must preserve across less consistent upstream APIs. [GOOG3–4]</x:v>
      </x:c>
    </x:row>
    <x:row r="60" ht="38" customHeight="1">
      <x:c r="A60" s="13" t="str">
        <x:v>API review</x:v>
      </x:c>
      <x:c r="B60" s="13" t="str">
        <x:v>3. Minimum viable rail: requirements with acceptance tests</x:v>
      </x:c>
      <x:c r="C60" s="13" t="str">
        <x:v>The following is a proposed engineering/operating specification, synthesized from the differences above. It is not a claim that every vendor already implements it.</x:v>
      </x:c>
    </x:row>
    <x:row r="61" ht="77" customHeight="1">
      <x:c r="A61" s="8" t="str">
        <x:v>API review</x:v>
      </x:c>
      <x:c r="B61" s="8" t="str">
        <x:v>3. Minimum viable rail: requirements with acceptance tests</x:v>
      </x:c>
      <x:c r="C61" s="8" t="str">
        <x:v>Priority / requirement: P0 Access &amp; rights
Minimum implementation: Merchant opt-in, correct production entitlement, permitted agent/distribution use case, platform approval where needed, narrowly scoped credentials, revocation procedure
Acceptance evidence: Consent and contract recorded; two authorized tenants tested; revoked tenant immediately loses service; no shared cross-tenant credentials</x:v>
      </x:c>
    </x:row>
    <x:row r="62" ht="77" customHeight="1">
      <x:c r="A62" s="13" t="str">
        <x:v>API review</x:v>
      </x:c>
      <x:c r="B62" s="13" t="str">
        <x:v>3. Minimum viable rail: requirements with acceptance tests</x:v>
      </x:c>
      <x:c r="C62" s="13" t="str">
        <x:v>Priority / requirement: P0 Capability discovery
Minimum implementation: Per provider/service declare quote, slot, request, commit, hold, cancellation, payment, webhook and reschedule capabilities; identify unsupported variants
Acceptance evidence: Same caller receives explicit unsupported/needs-human result, never silently approximated behavior</x:v>
      </x:c>
    </x:row>
    <x:row r="63" ht="77" customHeight="1">
      <x:c r="A63" s="8" t="str">
        <x:v>API review</x:v>
      </x:c>
      <x:c r="B63" s="8" t="str">
        <x:v>3. Minimum viable rail: requirements with acceptance tests</x:v>
      </x:c>
      <x:c r="C63" s="8" t="str">
        <x:v>Priority / requirement: P0 Service/eligibility model
Minimum implementation: Merchant service IDs/version, exact scope, exclusions, required inputs, staff/resource skills, service area, new/existing-client rules, lead times, arrival window versus start time
Acceptance evidence: Ineligible address, breed/size, vehicle/service, membership or provider pairing cannot reach commit; changed catalog invalidates stale offer</x:v>
      </x:c>
    </x:row>
    <x:row r="64" ht="77" customHeight="1">
      <x:c r="A64" s="13" t="str">
        <x:v>API review</x:v>
      </x:c>
      <x:c r="B64" s="13" t="str">
        <x:v>3. Minimum viable rail: requirements with acceptance tests</x:v>
      </x:c>
      <x:c r="C64" s="13" t="str">
        <x:v>Priority / requirement: P0 Commercial offer
Minimum implementation: Itemized currency, base/options/taxes/mandatory fees, deposit versus full amount due, remaining balance, expiration, cancellation/no-show/refund terms; differentiate fixed total/estimate/inspection fee
Acceptance evidence: Client cannot convert “from $X” or a writable arbitrary unit_price into guaranteed total; offer change requires renewed authorization</x:v>
      </x:c>
    </x:row>
    <x:row r="65" ht="77" customHeight="1">
      <x:c r="A65" s="8" t="str">
        <x:v>API review</x:v>
      </x:c>
      <x:c r="B65" s="8" t="str">
        <x:v>3. Minimum viable rail: requirements with acceptance tests</x:v>
      </x:c>
      <x:c r="C65" s="8" t="str">
        <x:v>Priority / requirement: P0 Live capacity
Minimum implementation: Query supplier source of truth; account for full service duration, preparation/cleanup, resources, travel/routing where relevant, closures and time zones
Acceptance evidence: Two agents target one slot; only valid capacity is committed. DST transition, service duration overrun, same-day cutoffs and provider change tests pass</x:v>
      </x:c>
    </x:row>
    <x:row r="66" ht="77" customHeight="1">
      <x:c r="A66" s="13" t="str">
        <x:v>API review</x:v>
      </x:c>
      <x:c r="B66" s="13" t="str">
        <x:v>3. Minimum viable rail: requirements with acceptance tests</x:v>
      </x:c>
      <x:c r="C66" s="13" t="str">
        <x:v>Priority / requirement: P0 Hold semantics
Minimum implementation: Expose holds only when upstream guarantees them; bind hold to tenant/customer/service/price/time; record expiry and release
Acceptance evidence: Expired or mismatched hold rejected. Abandoned holds released. If no upstream lease exists, UI says unreserved and adapter handles race at commit</x:v>
      </x:c>
    </x:row>
    <x:row r="67" ht="77" customHeight="1">
      <x:c r="A67" s="8" t="str">
        <x:v>API review</x:v>
      </x:c>
      <x:c r="B67" s="8" t="str">
        <x:v>3. Minimum viable rail: requirements with acceptance tests</x:v>
      </x:c>
      <x:c r="C67" s="8" t="str">
        <x:v>Priority / requirement: P0 Exactly-once intent
Minimum implementation: Durable middleware idempotency key + immutable request hash + upstream key where supported + outcome lookup; serialize same intent
Acceptance evidence: Repeated request, concurrent retries, connection loss after successful write and process crash produce one booking/one charge or explicit unresolved state</x:v>
      </x:c>
    </x:row>
    <x:row r="68" ht="77" customHeight="1">
      <x:c r="A68" s="13" t="str">
        <x:v>API review</x:v>
      </x:c>
      <x:c r="B68" s="13" t="str">
        <x:v>3. Minimum viable rail: requirements with acceptance tests</x:v>
      </x:c>
      <x:c r="C68" s="13" t="str">
        <x:v>Priority / requirement: P0 State semantics
Minimum implementation: Separate quote/request/waitlist/hold/pending provider/payment required/in-flight/confirmed/failed/unknown; persist upstream identifiers and raw status
Acceptance evidence: No “confirmed” message after HTTP 200 alone. Accepted record, allocated capacity and required payment conditions checked</x:v>
      </x:c>
    </x:row>
    <x:row r="69" ht="77" customHeight="1">
      <x:c r="A69" s="8" t="str">
        <x:v>API review</x:v>
      </x:c>
      <x:c r="B69" s="8" t="str">
        <x:v>3. Minimum viable rail: requirements with acceptance tests</x:v>
      </x:c>
      <x:c r="C69" s="8" t="str">
        <x:v>Priority / requirement: P0 Payments
Minimum implementation: Prefer provider-hosted/tokenized payment flow; preserve merchant-of-record, charge authorization, deposit policy, SCA/verification and receipt/refund links
Acceptance evidence: Card data absent from agent transcript/logs; payment succeeds+booking fails and booking succeeds+payment fails each have tested compensating/recovery behavior</x:v>
      </x:c>
    </x:row>
    <x:row r="70" ht="77" customHeight="1">
      <x:c r="A70" s="13" t="str">
        <x:v>API review</x:v>
      </x:c>
      <x:c r="B70" s="13" t="str">
        <x:v>3. Minimum viable rail: requirements with acceptance tests</x:v>
      </x:c>
      <x:c r="C70" s="13" t="str">
        <x:v>Priority / requirement: P0 Consent &amp; audit
Minimum implementation: Consumer action authorization separated from provider OAuth grant; immutable record of service/price/terms version, acting user/client, recipient, time, scope and result
Acceptance evidence: Audit can reconstruct exactly who authorized the specific purchase, what was shown and what upstream state resulted without retaining unnecessary sensitive content</x:v>
      </x:c>
    </x:row>
    <x:row r="71" ht="77" customHeight="1">
      <x:c r="A71" s="8" t="str">
        <x:v>API review</x:v>
      </x:c>
      <x:c r="B71" s="8" t="str">
        <x:v>3. Minimum viable rail: requirements with acceptance tests</x:v>
      </x:c>
      <x:c r="C71" s="8" t="str">
        <x:v>Priority / requirement: P0 Notifications
Minimum implementation: Verify webhook signatures, deduplicate, tolerate retries/out-of-order events, fetch current authoritative state, retry reconciliation, own notification delivery
Acceptance evidence: Merchant reschedule/cancel arrives and corrects customer view; spoof/replay rejected; webhook outage repaired without duplicate emails or stale confirmation</x:v>
      </x:c>
    </x:row>
    <x:row r="72" ht="77" customHeight="1">
      <x:c r="A72" s="13" t="str">
        <x:v>API review</x:v>
      </x:c>
      <x:c r="B72" s="13" t="str">
        <x:v>3. Minimum viable rail: requirements with acceptance tests</x:v>
      </x:c>
      <x:c r="C72" s="13" t="str">
        <x:v>Priority / requirement: P0 Cancel/reschedule
Minimum implementation: Capability-aware rules; show penalties before committing; prefer atomic reschedule; explicit staged saga if cancel+rebook is necessary
Acceptance evidence: Lost-new-slot and old-cancel-failed cases preserve accurate status; never claim refund from cancellation response; user notified of residual obligation</x:v>
      </x:c>
    </x:row>
    <x:row r="73" ht="77" customHeight="1">
      <x:c r="A73" s="8" t="str">
        <x:v>API review</x:v>
      </x:c>
      <x:c r="B73" s="8" t="str">
        <x:v>3. Minimum viable rail: requirements with acceptance tests</x:v>
      </x:c>
      <x:c r="C73" s="8" t="str">
        <x:v>Priority / requirement: P0 Exception operations
Minimum implementation: Human escalation queue, owner and promised callback, emergency exclusions, bounded retries, vendor outage/credential-expiry kill switches
Acceptance evidence: Unknown booking is reconciled before retry. No capacity oversell during outage; customer can reach accountable support</x:v>
      </x:c>
    </x:row>
    <x:row r="74" ht="77" customHeight="1">
      <x:c r="A74" s="13" t="str">
        <x:v>API review</x:v>
      </x:c>
      <x:c r="B74" s="13" t="str">
        <x:v>3. Minimum viable rail: requirements with acceptance tests</x:v>
      </x:c>
      <x:c r="C74" s="13" t="str">
        <x:v>Priority / requirement: P1 Reconciliation/health
Minimum implementation: Periodic provider-state comparison, webhook lag, last-success timestamp, schema/plan drift, dead-letter queue
Acceptance evidence: Missed external cancellation and schema change detected; merchant with invalid configuration removed from instant-book inventory</x:v>
      </x:c>
    </x:row>
    <x:row r="75" ht="77" customHeight="1">
      <x:c r="A75" s="8" t="str">
        <x:v>API review</x:v>
      </x:c>
      <x:c r="B75" s="8" t="str">
        <x:v>3. Minimum viable rail: requirements with acceptance tests</x:v>
      </x:c>
      <x:c r="C75" s="8" t="str">
        <x:v>Priority / requirement: P1 Economics instrumentation
Minimum implementation: Every attempt logs accesses/calls, booked outcome, failure class, support minutes, payment/refund costs and attribution without inventing conversion
Acceptance evidence: Direct API benefit compared against equivalent browser/phone task with matched scope; contribution margin calculated from actual invoices and support labor</x:v>
      </x:c>
    </x:row>
    <x:row r="76" ht="38" customHeight="1">
      <x:c r="A76" s="13" t="str">
        <x:v>API review</x:v>
      </x:c>
      <x:c r="B76" s="13" t="str">
        <x:v>Suggested canonical lifecycle</x:v>
      </x:c>
      <x:c r="C76" s="13" t="str">
        <x:v>Draft → Needs information → Offer ready → Awaiting user authorization → optionally Held → Commit in flight → one of Confirmed / Pending provider / Payment required / Waitlisted / Failed / Unknown outcome.</x:v>
      </x:c>
    </x:row>
    <x:row r="77" ht="51" customHeight="1">
      <x:c r="A77" s="8" t="str">
        <x:v>API review</x:v>
      </x:c>
      <x:c r="B77" s="8" t="str">
        <x:v>Suggested canonical lifecycle</x:v>
      </x:c>
      <x:c r="C77" s="8" t="str">
        <x:v>Confirmed can transition to Change requested → Confirmed (new version), Cancel requested → Cancelled, Completed or No-show. Refund state is a separate payment lifecycle. A timed-out create is Unknown outcome until reconciled, not automatically Failed; an unconfirmed merchant record is Pending provider, not Confirmed.</x:v>
      </x:c>
    </x:row>
    <x:row r="78" ht="38" customHeight="1">
      <x:c r="A78" s="13" t="str">
        <x:v>API review</x:v>
      </x:c>
      <x:c r="B78" s="13" t="str">
        <x:v>Minimum normalized data contract</x:v>
      </x:c>
      <x:c r="C78" s="13" t="str">
        <x:v>Provider: merchant/tenant/location IDs, timezone, country/currency, service area, platform/API version, grant, entitlement, terms version, operational owner</x:v>
      </x:c>
    </x:row>
    <x:row r="79" ht="38" customHeight="1">
      <x:c r="A79" s="8" t="str">
        <x:v>API review</x:v>
      </x:c>
      <x:c r="B79" s="8" t="str">
        <x:v>Minimum normalized data contract</x:v>
      </x:c>
      <x:c r="C79" s="8" t="str">
        <x:v>Service: merchant-native IDs, category, duration, staff/resource constraints, configurable questions, scope/add-ons, exclusions, price type, cancellation/deposit rule</x:v>
      </x:c>
    </x:row>
    <x:row r="80" ht="38" customHeight="1">
      <x:c r="A80" s="13" t="str">
        <x:v>API review</x:v>
      </x:c>
      <x:c r="B80" s="13" t="str">
        <x:v>Minimum normalized data contract</x:v>
      </x:c>
      <x:c r="C80" s="13" t="str">
        <x:v>Offer: immutable ID/version, itemized total or explicit estimate range, taxes/fees, deposit/balance, availability checked_at, expiry, start/end/arrival window, resource identifiers, hold guarantee if any</x:v>
      </x:c>
    </x:row>
    <x:row r="81" ht="38" customHeight="1">
      <x:c r="A81" s="8" t="str">
        <x:v>API review</x:v>
      </x:c>
      <x:c r="B81" s="8" t="str">
        <x:v>Minimum normalized data contract</x:v>
      </x:c>
      <x:c r="C81" s="8" t="str">
        <x:v>Principal/consent: consumer identity reference, provider customer reference, agent client identity, authorized action and spend ceiling, policy disclosure version, approval timestamp</x:v>
      </x:c>
    </x:row>
    <x:row r="82" ht="38" customHeight="1">
      <x:c r="A82" s="13" t="str">
        <x:v>API review</x:v>
      </x:c>
      <x:c r="B82" s="13" t="str">
        <x:v>Minimum normalized data contract</x:v>
      </x:c>
      <x:c r="C82" s="13" t="str">
        <x:v>Booking: middleware intent + idempotency key, upstream booking/job/appointment IDs, separate supplier/payment/notification states, version, trace ID, created/modified timestamps, verified management links</x:v>
      </x:c>
    </x:row>
    <x:row r="83" ht="38" customHeight="1">
      <x:c r="A83" s="8" t="str">
        <x:v>API review</x:v>
      </x:c>
      <x:c r="B83" s="8" t="str">
        <x:v>Minimum normalized data contract</x:v>
      </x:c>
      <x:c r="C83" s="8" t="str">
        <x:v>Evidence: source-of-truth response hash/redacted audit, webhook event ID/signature result, reconciliation checkpoint, and human owner for exceptions</x:v>
      </x:c>
    </x:row>
    <x:row r="84" ht="51" customHeight="1">
      <x:c r="A84" s="13" t="str">
        <x:v>API review</x:v>
      </x:c>
      <x:c r="B84" s="13" t="str">
        <x:v>4. Security and compliance boundaries</x:v>
      </x:c>
      <x:c r="C84" s="13" t="str">
        <x:v>For an MCP proxy, upstream provider credentials and client-to-middleware tokens must be distinct. The MCP security guidance forbids token passthrough and requires audience validation. It also requires per-client consent, exact redirect matching, CSRF-protected single-use OAuth state and secure consent storage. [SEC1]</x:v>
      </x:c>
    </x:row>
    <x:row r="85" ht="77" customHeight="1">
      <x:c r="A85" s="8" t="str">
        <x:v>API review</x:v>
      </x:c>
      <x:c r="B85" s="8" t="str">
        <x:v>4. Security and compliance boundaries</x:v>
      </x:c>
      <x:c r="C85" s="8" t="str">
        <x:v>Additional product design recommendations: bind every offer/hold/idempotency key to tenant, authorized consumer and agent client; enforce authorization server-side on every object, not in prompts; encrypt credentials in a vault; prevent arbitrary downstream URL fetching; redact secrets/PII; keep tool outputs as untrusted data; require structured purchase authority before payment/commit; make revocation and access logs reviewable. These are architectural requirements, not claims that an OAuth scope constitutes purchase consent.</x:v>
      </x:c>
    </x:row>
    <x:row r="86" ht="64" customHeight="1">
      <x:c r="A86" s="13" t="str">
        <x:v>API review</x:v>
      </x:c>
      <x:c r="B86" s="13" t="str">
        <x:v>4. Security and compliance boundaries</x:v>
      </x:c>
      <x:c r="C86" s="13" t="str">
        <x:v>Health-specific review must establish whether the company acts on behalf of a covered entity/business associate, and which parties receive PHI. HHS explicitly lists provider-portal AI appointment-scheduling vendors as an example of business associates; covered-entity service relationships involving PHI can require BAAs. Do not extrapolate that every consumer-side health app has the same legal role. Get qualified legal/security review before live health data. [SEC2–3]</x:v>
      </x:c>
    </x:row>
    <x:row r="87" ht="51" customHeight="1">
      <x:c r="A87" s="8" t="str">
        <x:v>API review</x:v>
      </x:c>
      <x:c r="B87" s="8" t="str">
        <x:v>4. Security and compliance boundaries</x:v>
      </x:c>
      <x:c r="C87" s="8" t="str">
        <x:v>Hosted payment/tokenization reduces exposure but does not by itself eliminate PCI responsibilities. Define merchant/service-provider roles and verify payment-provider compliance and shared responsibilities with the acquirer/compliance program. [SEC4]</x:v>
      </x:c>
    </x:row>
    <x:row r="88" ht="38" customHeight="1">
      <x:c r="A88" s="13" t="str">
        <x:v>API review</x:v>
      </x:c>
      <x:c r="B88" s="13" t="str">
        <x:v>5. Diligence gates before calling an integration “production-ready”</x:v>
      </x:c>
      <x:c r="C88" s="13" t="str">
        <x:v>1. Rights: Written confirmation of the proposed third-party consumer-agent use case, merchant opt-in model, branding/data redistribution limits, pricing, production scopes and support path</x:v>
      </x:c>
    </x:row>
    <x:row r="89" ht="38" customHeight="1">
      <x:c r="A89" s="8" t="str">
        <x:v>API review</x:v>
      </x:c>
      <x:c r="B89" s="8" t="str">
        <x:v>5. Diligence gates before calling an integration “production-ready”</x:v>
      </x:c>
      <x:c r="C89" s="8" t="str">
        <x:v>2. Real inventory: At least one merchant independently confirms catalog, prices, tax/fee rules, capacity/routing, cancellation rules and the meaning of each status</x:v>
      </x:c>
    </x:row>
    <x:row r="90" ht="38" customHeight="1">
      <x:c r="A90" s="13" t="str">
        <x:v>API review</x:v>
      </x:c>
      <x:c r="B90" s="13" t="str">
        <x:v>5. Diligence gates before calling an integration “production-ready”</x:v>
      </x:c>
      <x:c r="C90" s="13" t="str">
        <x:v>3. Complete lifecycle: Authorized sandbox/pilot demonstrates create, confirmed read-back, merchant-originated change notification, reschedule, cancellation and financial reconciliation</x:v>
      </x:c>
    </x:row>
    <x:row r="91" ht="38" customHeight="1">
      <x:c r="A91" s="8" t="str">
        <x:v>API review</x:v>
      </x:c>
      <x:c r="B91" s="8" t="str">
        <x:v>5. Diligence gates before calling an integration “production-ready”</x:v>
      </x:c>
      <x:c r="C91" s="8" t="str">
        <x:v>4. Failure proof: Race, duplicate, timeout-after-write, payment partial failure, webhook replay/outage, DST, expired authorization, revoked credentials and stale offer tests pass</x:v>
      </x:c>
    </x:row>
    <x:row r="92" ht="38" customHeight="1">
      <x:c r="A92" s="13" t="str">
        <x:v>API review</x:v>
      </x:c>
      <x:c r="B92" s="13" t="str">
        <x:v>5. Diligence gates before calling an integration “production-ready”</x:v>
      </x:c>
      <x:c r="C92" s="13" t="str">
        <x:v>5. Coverage: Count actually connected eligible locations/services, not vendor customer totals or every business displaying a widget</x:v>
      </x:c>
    </x:row>
    <x:row r="93" ht="38" customHeight="1">
      <x:c r="A93" s="8" t="str">
        <x:v>API review</x:v>
      </x:c>
      <x:c r="B93" s="8" t="str">
        <x:v>5. Diligence gates before calling an integration “production-ready”</x:v>
      </x:c>
      <x:c r="C93" s="8" t="str">
        <x:v>6. Economics: Obtain actual contractual API/platform fees and measure operator intervention; do not fill unknown adoption, AOV or abandonment cells with estimates presented as observations</x:v>
      </x:c>
    </x:row>
    <x:row r="94" ht="64" customHeight="1">
      <x:c r="A94" s="13" t="str">
        <x:v>API review</x:v>
      </x:c>
      <x:c r="B94" s="13" t="str">
        <x:v>5. Diligence gates before calling an integration “production-ready”</x:v>
      </x:c>
      <x:c r="C94" s="13" t="str">
        <x:v>Suggested first implementation experiment (inference): one opted-in Square merchant with fixed services and no unsupported cancellation-fee requirement, or one HCP merchant with a fully configured cleaning price form + service area. The former is technically simpler; the latter is more directly relevant to a home-service rail hypothesis. Choose between them using real agent demand and merchant willingness, not documentation alone.</x:v>
      </x:c>
    </x:row>
  </x:sheetData>
  <x:pageMargins left="0.7" right="0.7" top="0.75" bottom="0.75" header="0.3" footer="0.3"/>
  <x:tableParts count="1">
    <x:tablePart xmlns:r="http://schemas.openxmlformats.org/officeDocument/2006/relationships" r:id="Raed7b9a9fcbe407f"/>
  </x:tableParts>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 hidden="0" customWidth="1"/>
    <x:col min="2" max="2" width="46" hidden="0" customWidth="1"/>
    <x:col min="3" max="3" width="35" hidden="0" customWidth="1"/>
    <x:col min="4" max="4" width="97" hidden="0" customWidth="1"/>
  </x:cols>
  <x:sheetData>
    <x:row r="1">
      <x:c r="A1" s="1"/>
      <x:c r="B1" s="1"/>
      <x:c r="C1" s="1"/>
      <x:c r="D1" s="1"/>
    </x:row>
    <x:row r="2" ht="26" customHeight="1">
      <x:c r="A2" s="3" t="str">
        <x:v>Accessible-history audit</x:v>
      </x:c>
      <x:c r="B2" s="4"/>
      <x:c r="C2" s="4"/>
      <x:c r="D2" s="4"/>
    </x:row>
    <x:row r="3">
      <x:c r="A3" s="6" t="str">
        <x:v>103 retrieved records; 102 analyzed after one unrelated sensitive-record exclusion. One user; incomplete retrieval.</x:v>
      </x:c>
      <x:c r="B3" s="1"/>
      <x:c r="C3" s="1"/>
      <x:c r="D3" s="1"/>
    </x:row>
    <x:row r="4">
      <x:c r="A4" s="1"/>
      <x:c r="B4" s="1"/>
      <x:c r="C4" s="1"/>
      <x:c r="D4" s="1"/>
    </x:row>
    <x:row r="5" ht="42" customHeight="1">
      <x:c r="A5" s="12" t="str">
        <x:v>Type</x:v>
      </x:c>
      <x:c r="B5" s="12" t="str">
        <x:v>Metric / episode</x:v>
      </x:c>
      <x:c r="C5" s="12" t="str">
        <x:v>Value</x:v>
      </x:c>
      <x:c r="D5" s="12" t="str">
        <x:v>Definition / limitation</x:v>
      </x:c>
    </x:row>
    <x:row r="6" ht="34" customHeight="1">
      <x:c r="A6" s="13" t="str">
        <x:v>Coverage</x:v>
      </x:c>
      <x:c r="B6" s="13" t="str">
        <x:v>Retrieved records</x:v>
      </x:c>
      <x:c r="C6" s="13" t="n">
        <x:v>103</x:v>
      </x:c>
      <x:c r="D6" s="13" t="str">
        <x:v>37 user + 66 assistant records</x:v>
      </x:c>
    </x:row>
    <x:row r="7" ht="34" customHeight="1">
      <x:c r="A7" s="8" t="str">
        <x:v>Coverage</x:v>
      </x:c>
      <x:c r="B7" s="8" t="str">
        <x:v>Analyzed records</x:v>
      </x:c>
      <x:c r="C7" s="8" t="n">
        <x:v>102</x:v>
      </x:c>
      <x:c r="D7" s="8" t="str">
        <x:v>36 user + 66 assistant; includes 2 assistant records with null text</x:v>
      </x:c>
    </x:row>
    <x:row r="8" ht="34" customHeight="1">
      <x:c r="A8" s="13" t="str">
        <x:v>Coverage</x:v>
      </x:c>
      <x:c r="B8" s="13" t="str">
        <x:v>Excluded unrelated sensitive record</x:v>
      </x:c>
      <x:c r="C8" s="13" t="n">
        <x:v>1</x:v>
      </x:c>
      <x:c r="D8" s="13" t="str">
        <x:v>One nonbooking identity-text record excluded; no content reproduced</x:v>
      </x:c>
    </x:row>
    <x:row r="9" ht="34" customHeight="1">
      <x:c r="A9" s="8" t="str">
        <x:v>Coverage</x:v>
      </x:c>
      <x:c r="B9" s="8" t="str">
        <x:v>Unique users</x:v>
      </x:c>
      <x:c r="C9" s="8" t="n">
        <x:v>1</x:v>
      </x:c>
      <x:c r="D9" s="8" t="str">
        <x:v>One accessible conversation; retrieval marked partial; omitted count unknown</x:v>
      </x:c>
    </x:row>
    <x:row r="10" ht="38" customHeight="1">
      <x:c r="A10" s="13" t="str">
        <x:v>Coverage</x:v>
      </x:c>
      <x:c r="B10" s="13" t="str">
        <x:v>Observed start UTC</x:v>
      </x:c>
      <x:c r="C10" s="13" t="str">
        <x:v>UTC 2026-09-30T05:58:51.164632+00:00</x:v>
      </x:c>
      <x:c r="D10" s="13" t="str">
        <x:v>Available history does not cover the requested 90 days</x:v>
      </x:c>
    </x:row>
    <x:row r="11" ht="38" customHeight="1">
      <x:c r="A11" s="8" t="str">
        <x:v>Coverage</x:v>
      </x:c>
      <x:c r="B11" s="8" t="str">
        <x:v>Observed end UTC</x:v>
      </x:c>
      <x:c r="C11" s="8" t="str">
        <x:v>UTC 2026-10-04T20:20:07.309247+00:00</x:v>
      </x:c>
      <x:c r="D11" s="8" t="str">
        <x:v>Historical audit cutoff</x:v>
      </x:c>
    </x:row>
    <x:row r="12" ht="38" customHeight="1">
      <x:c r="A12" s="13" t="str">
        <x:v>Coverage</x:v>
      </x:c>
      <x:c r="B12" s="13" t="str">
        <x:v>Requested 90-day start UTC</x:v>
      </x:c>
      <x:c r="C12" s="13" t="str">
        <x:v>UTC 2026-07-06T20:20:07.309247+00:00</x:v>
      </x:c>
      <x:c r="D12" s="13" t="str">
        <x:v>Actual available coverage is shorter and incomplete</x:v>
      </x:c>
    </x:row>
    <x:row r="13" ht="38" customHeight="1">
      <x:c r="A13" s="8" t="str">
        <x:v>Observed counts</x:v>
      </x:c>
      <x:c r="B13" s="8" t="str">
        <x:v>Strict booking-execution requests</x:v>
      </x:c>
      <x:c r="C13" s="8" t="n">
        <x:v>0</x:v>
      </x:c>
      <x:c r="D13" s="8" t="str">
        <x:v>Explicit instruction to create a reservation, appointment, time-slot commitment or scheduled meeting</x:v>
      </x:c>
    </x:row>
    <x:row r="14" ht="34" customHeight="1">
      <x:c r="A14" s="13" t="str">
        <x:v>Observed counts</x:v>
      </x:c>
      <x:c r="B14" s="13" t="str">
        <x:v>Assistant-confirmed provider bookings</x:v>
      </x:c>
      <x:c r="C14" s="13" t="n">
        <x:v>0</x:v>
      </x:c>
      <x:c r="D14" s="13" t="str">
        <x:v>No authoritative confirmation observed</x:v>
      </x:c>
    </x:row>
    <x:row r="15" ht="34" customHeight="1">
      <x:c r="A15" s="8" t="str">
        <x:v>Observed counts</x:v>
      </x:c>
      <x:c r="B15" s="8" t="str">
        <x:v>Booking-adjacent episodes</x:v>
      </x:c>
      <x:c r="C15" s="8" t="n">
        <x:v>3</x:v>
      </x:c>
      <x:c r="D15" s="8" t="str">
        <x:v>Follow-ups deduplicated by user objective; not strict booking requests</x:v>
      </x:c>
    </x:row>
    <x:row r="16" ht="34" customHeight="1">
      <x:c r="A16" s="13" t="str">
        <x:v>Adjacent episode</x:v>
      </x:c>
      <x:c r="B16" s="13" t="str">
        <x:v>H01: Calendar-state cleanup</x:v>
      </x:c>
      <x:c r="C16" s="13" t="n">
        <x:v>1</x:v>
      </x:c>
      <x:c r="D16" s="13" t="str">
        <x:v>Read-only source and refreshed calendar state. No booking or cancellation executed</x:v>
      </x:c>
    </x:row>
    <x:row r="17" ht="34" customHeight="1">
      <x:c r="A17" s="8" t="str">
        <x:v>Adjacent episode</x:v>
      </x:c>
      <x:c r="B17" s="8" t="str">
        <x:v>H02: Appointment-access guidance</x:v>
      </x:c>
      <x:c r="C17" s="8" t="n">
        <x:v>1</x:v>
      </x:c>
      <x:c r="D17" s="8" t="str">
        <x:v>Access/route and deadline uncertainty. No booked slot or completed service established</x:v>
      </x:c>
    </x:row>
    <x:row r="18" ht="38" customHeight="1">
      <x:c r="A18" s="13" t="str">
        <x:v>Adjacent episode</x:v>
      </x:c>
      <x:c r="B18" s="13" t="str">
        <x:v>H03: Adviser-route discovery</x:v>
      </x:c>
      <x:c r="C18" s="13" t="n">
        <x:v>1</x:v>
      </x:c>
      <x:c r="D18" s="13" t="str">
        <x:v>Authenticated discovery and manually supplied routes. Recommendation was not a booking instruction</x:v>
      </x:c>
    </x:row>
    <x:row r="19" ht="34" customHeight="1">
      <x:c r="A19" s="8" t="str">
        <x:v>Unavailable metrics</x:v>
      </x:c>
      <x:c r="B19" s="8" t="str">
        <x:v>Completion without phone</x:v>
      </x:c>
      <x:c r="C19" s="8" t="str">
        <x:v>Unavailable</x:v>
      </x:c>
      <x:c r="D19" s="8" t="str">
        <x:v>No eligible executed-booking denominator</x:v>
      </x:c>
    </x:row>
    <x:row r="20" ht="34" customHeight="1">
      <x:c r="A20" s="13" t="str">
        <x:v>Unavailable metrics</x:v>
      </x:c>
      <x:c r="B20" s="13" t="str">
        <x:v>Phone-required share</x:v>
      </x:c>
      <x:c r="C20" s="13" t="str">
        <x:v>Unavailable</x:v>
      </x:c>
      <x:c r="D20" s="13" t="str">
        <x:v>Necessity not observed; phone offered/available does not establish required</x:v>
      </x:c>
    </x:row>
    <x:row r="21" ht="34" customHeight="1">
      <x:c r="A21" s="8" t="str">
        <x:v>Unavailable metrics</x:v>
      </x:c>
      <x:c r="B21" s="8" t="str">
        <x:v>Abandonment due to friction</x:v>
      </x:c>
      <x:c r="C21" s="8" t="str">
        <x:v>Unavailable</x:v>
      </x:c>
      <x:c r="D21" s="8" t="str">
        <x:v>Silence and research stopping points are not abandonment</x:v>
      </x:c>
    </x:row>
    <x:row r="22" ht="34" customHeight="1">
      <x:c r="A22" s="13" t="str">
        <x:v>Unavailable metrics</x:v>
      </x:c>
      <x:c r="B22" s="13" t="str">
        <x:v>Category demand / repeat / typical ticket</x:v>
      </x:c>
      <x:c r="C22" s="13" t="str">
        <x:v>Unavailable</x:v>
      </x:c>
      <x:c r="D22" s="13" t="str">
        <x:v>No representative cross-user or 90-day telemetry</x:v>
      </x:c>
    </x:row>
    <x:row r="23" ht="34" customHeight="1">
      <x:c r="A23" s="8" t="str">
        <x:v>Interpretation</x:v>
      </x:c>
      <x:c r="B23" s="8" t="str">
        <x:v>Demand conclusion</x:v>
      </x:c>
      <x:c r="C23" s="8" t="str">
        <x:v>Not estimable</x:v>
      </x:c>
      <x:c r="D23" s="8" t="str">
        <x:v>Zero observed requests in this short incomplete sample does not mean zero broader demand</x:v>
      </x:c>
    </x:row>
    <x:row r="24" ht="38" customHeight="1">
      <x:c r="A24" s="13" t="str">
        <x:v>Source</x:v>
      </x:c>
      <x:c r="B24" s="13" t="str">
        <x:v>Private conversation audit</x:v>
      </x:c>
      <x:c r="C24" s="13" t="str">
        <x:v>HIST</x:v>
      </x:c>
      <x:c r="D24" s="13" t="str">
        <x:v>Anonymized aggregate and episode summaries only; no raw transcripts or personal details supplied in workbook</x:v>
      </x:c>
    </x:row>
  </x:sheetData>
  <x:pageMargins left="0.7" right="0.7" top="0.75" bottom="0.75" header="0.3" footer="0.3"/>
  <x:tableParts count="1">
    <x:tablePart xmlns:r="http://schemas.openxmlformats.org/officeDocument/2006/relationships" r:id="Rda6ccffb2fe4409c"/>
  </x:tableParts>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5" hidden="0" customWidth="1"/>
    <x:col min="2" max="2" width="75" hidden="0" customWidth="1"/>
    <x:col min="3" max="3" width="92" hidden="0" customWidth="1"/>
    <x:col min="4" max="4" width="15" hidden="0" customWidth="1"/>
    <x:col min="5" max="5" width="57" hidden="0" customWidth="1"/>
    <x:col min="6" max="6" width="78" hidden="0" customWidth="1"/>
  </x:cols>
  <x:sheetData>
    <x:row r="1">
      <x:c r="A1" s="1"/>
      <x:c r="B1" s="1"/>
      <x:c r="C1" s="1"/>
      <x:c r="D1" s="1"/>
      <x:c r="E1" s="1"/>
      <x:c r="F1" s="1"/>
    </x:row>
    <x:row r="2" ht="26" customHeight="1">
      <x:c r="A2" s="3" t="str">
        <x:v>Source register</x:v>
      </x:c>
      <x:c r="B2" s="4"/>
      <x:c r="C2" s="4"/>
      <x:c r="D2" s="4"/>
      <x:c r="E2" s="4"/>
      <x:c r="F2" s="4"/>
    </x:row>
    <x:row r="3">
      <x:c r="A3" s="6" t="str">
        <x:v>Access date records retrieval, not publication date. Documentation, marketing claims and live observations have different evidential scope.</x:v>
      </x:c>
      <x:c r="B3" s="1"/>
      <x:c r="C3" s="1"/>
      <x:c r="D3" s="1"/>
      <x:c r="E3" s="1"/>
      <x:c r="F3" s="1"/>
    </x:row>
    <x:row r="4">
      <x:c r="A4" s="1"/>
      <x:c r="B4" s="1"/>
      <x:c r="C4" s="1"/>
      <x:c r="D4" s="1"/>
      <x:c r="E4" s="1"/>
      <x:c r="F4" s="1"/>
    </x:row>
    <x:row r="5" ht="42" customHeight="1">
      <x:c r="A5" s="12" t="str">
        <x:v>Source ID</x:v>
      </x:c>
      <x:c r="B5" s="12" t="str">
        <x:v>Title / description</x:v>
      </x:c>
      <x:c r="C5" s="12" t="str">
        <x:v>Verified URL / source</x:v>
      </x:c>
      <x:c r="D5" s="12" t="str">
        <x:v>Access date</x:v>
      </x:c>
      <x:c r="E5" s="12" t="str">
        <x:v>Evidence type</x:v>
      </x:c>
      <x:c r="F5" s="12" t="str">
        <x:v>Use and limitations</x:v>
      </x:c>
    </x:row>
    <x:row r="6" ht="77" customHeight="1">
      <x:c r="A6" s="13" t="str">
        <x:v>HCP1</x:v>
      </x:c>
      <x:c r="B6" s="13" t="str">
        <x:v>Housecall Pro developer overview, undated; current cloud-browser rendered text says MAX/XL, describes partner contract and separate Partner Jobs program: https://docs.housecallpro.com/</x:v>
      </x:c>
      <x:c r="C6" s="13" t="str">
        <x:v>https://docs.housecallpro.com/</x:v>
      </x:c>
      <x:c r="D6" s="16" t="n">
        <x:v>46299</x:v>
      </x:c>
      <x:c r="E6" s="13" t="str">
        <x:v>Public primary page rendered and read in cloud browser; no API call</x:v>
      </x:c>
      <x:c r="F6" s="13" t="str">
        <x:v>Documented capability or policy; no execution proof</x:v>
      </x:c>
    </x:row>
    <x:row r="7" ht="77" customHeight="1">
      <x:c r="A7" s="8" t="str">
        <x:v>HCP2</x:v>
      </x:c>
      <x:c r="B7" s="8" t="str">
        <x:v>API Overview, dated 2026-07-08, says MAX: https://help.housecallpro.com/en/articles/8505035-api-overview</x:v>
      </x:c>
      <x:c r="C7" s="8" t="str">
        <x:v>https://help.housecallpro.com/en/articles/8505035-api-overview</x:v>
      </x:c>
      <x:c r="D7" s="17" t="n">
        <x:v>46299</x:v>
      </x:c>
      <x:c r="E7" s="8" t="str">
        <x:v>Primary-source search extraction inspected; full live-page/API behavior not separately verified</x:v>
      </x:c>
      <x:c r="F7" s="8" t="str">
        <x:v>Documented capability or policy; no execution proof</x:v>
      </x:c>
    </x:row>
    <x:row r="8" ht="77" customHeight="1">
      <x:c r="A8" s="13" t="str">
        <x:v>HCP3</x:v>
      </x:c>
      <x:c r="B8" s="13" t="str">
        <x:v>Authentication, undated, browser: https://docs.housecallpro.com/docs/housecall-public-api/b87d37ae48a0d-authentication</x:v>
      </x:c>
      <x:c r="C8" s="13" t="str">
        <x:v>https://docs.housecallpro.com/docs/housecall-public-api/b87d37ae48a0d-authentication</x:v>
      </x:c>
      <x:c r="D8" s="16" t="n">
        <x:v>46299</x:v>
      </x:c>
      <x:c r="E8" s="13" t="str">
        <x:v>Public primary page rendered and read in cloud browser; no API call</x:v>
      </x:c>
      <x:c r="F8" s="13" t="str">
        <x:v>Documented capability or policy; no execution proof</x:v>
      </x:c>
    </x:row>
    <x:row r="9" ht="77" customHeight="1">
      <x:c r="A9" s="8" t="str">
        <x:v>HCP4</x:v>
      </x:c>
      <x:c r="B9" s="8" t="str">
        <x:v>Booking Windows, undated, browser: https://docs.housecallpro.com/docs/housecall-public-api/c80920efe7ef1-booking-windows</x:v>
      </x:c>
      <x:c r="C9" s="8" t="str">
        <x:v>https://docs.housecallpro.com/docs/housecall-public-api/c80920efe7ef1-booking-windows</x:v>
      </x:c>
      <x:c r="D9" s="17" t="n">
        <x:v>46299</x:v>
      </x:c>
      <x:c r="E9" s="8" t="str">
        <x:v>Public primary page rendered and read in cloud browser; no API call</x:v>
      </x:c>
      <x:c r="F9" s="8" t="str">
        <x:v>Documented capability or policy; no execution proof</x:v>
      </x:c>
    </x:row>
    <x:row r="10" ht="77" customHeight="1">
      <x:c r="A10" s="13" t="str">
        <x:v>HCP5</x:v>
      </x:c>
      <x:c r="B10" s="13" t="str">
        <x:v>Create a Job, undated, browser: https://docs.housecallpro.com/docs/housecall-public-api/2dcf481ed7d69-create-a-job</x:v>
      </x:c>
      <x:c r="C10" s="13" t="str">
        <x:v>https://docs.housecallpro.com/docs/housecall-public-api/2dcf481ed7d69-create-a-job</x:v>
      </x:c>
      <x:c r="D10" s="16" t="n">
        <x:v>46299</x:v>
      </x:c>
      <x:c r="E10" s="13" t="str">
        <x:v>Public primary page rendered and read in cloud browser; no API call</x:v>
      </x:c>
      <x:c r="F10" s="13" t="str">
        <x:v>Documented capability or policy; no execution proof</x:v>
      </x:c>
    </x:row>
    <x:row r="11" ht="77" customHeight="1">
      <x:c r="A11" s="8" t="str">
        <x:v>HCP6</x:v>
      </x:c>
      <x:c r="B11" s="8" t="str">
        <x:v>How to Enable Webhooks, dated 2026-07-16: https://help.housecallpro.com/en/articles/5683520-how-to-enable-webhooks ; lifecycle endpoint navigation observed under HCP5</x:v>
      </x:c>
      <x:c r="C11" s="8" t="str">
        <x:v>https://help.housecallpro.com/en/articles/5683520-how-to-enable-webhooks</x:v>
      </x:c>
      <x:c r="D11" s="17" t="n">
        <x:v>46299</x:v>
      </x:c>
      <x:c r="E11" s="8" t="str">
        <x:v>Primary-source search extraction inspected; full live-page/API behavior not separately verified</x:v>
      </x:c>
      <x:c r="F11" s="8" t="str">
        <x:v>Documented capability or policy; no execution proof</x:v>
      </x:c>
    </x:row>
    <x:row r="12" ht="77" customHeight="1">
      <x:c r="A12" s="13" t="str">
        <x:v>JOB1</x:v>
      </x:c>
      <x:c r="B12" s="13" t="str">
        <x:v>Developer overview/current schema introduction, undated: https://developer.getjobber.com/docs/</x:v>
      </x:c>
      <x:c r="C12" s="13" t="str">
        <x:v>https://developer.getjobber.com/docs/</x:v>
      </x:c>
      <x:c r="D12" s="16" t="n">
        <x:v>46299</x:v>
      </x:c>
      <x:c r="E12" s="13" t="str">
        <x:v>Public primary page opened with full web extraction available; relevant contents inspected; no API call</x:v>
      </x:c>
      <x:c r="F12" s="13" t="str">
        <x:v>Documented capability or policy; no execution proof</x:v>
      </x:c>
    </x:row>
    <x:row r="13" ht="77" customHeight="1">
      <x:c r="A13" s="8" t="str">
        <x:v>JOB2</x:v>
      </x:c>
      <x:c r="B13" s="8" t="str">
        <x:v>Getting Started/OAuth, undated: https://developer.getjobber.com/docs/getting_started/</x:v>
      </x:c>
      <x:c r="C13" s="8" t="str">
        <x:v>https://developer.getjobber.com/docs/getting_started/</x:v>
      </x:c>
      <x:c r="D13" s="17" t="n">
        <x:v>46299</x:v>
      </x:c>
      <x:c r="E13" s="8" t="str">
        <x:v>Primary-source search extraction inspected; full live-page/API behavior not separately verified</x:v>
      </x:c>
      <x:c r="F13" s="8" t="str">
        <x:v>Documented capability or policy; no execution proof</x:v>
      </x:c>
    </x:row>
    <x:row r="14" ht="77" customHeight="1">
      <x:c r="A14" s="13" t="str">
        <x:v>JOB3</x:v>
      </x:c>
      <x:c r="B14" s="13" t="str">
        <x:v>Developer Center, updated 2024-09-11, schema access instructions: https://help.getjobber.com/en/articles/developer-center/</x:v>
      </x:c>
      <x:c r="C14" s="13" t="str">
        <x:v>https://help.getjobber.com/en/articles/developer-center/</x:v>
      </x:c>
      <x:c r="D14" s="16" t="n">
        <x:v>46299</x:v>
      </x:c>
      <x:c r="E14" s="13" t="str">
        <x:v>Primary-source search extraction inspected; full live-page/API behavior not separately verified</x:v>
      </x:c>
      <x:c r="F14" s="13" t="str">
        <x:v>Documented capability or policy; no execution proof</x:v>
      </x:c>
    </x:row>
    <x:row r="15" ht="77" customHeight="1">
      <x:c r="A15" s="8" t="str">
        <x:v>JOB4</x:v>
      </x:c>
      <x:c r="B15" s="8" t="str">
        <x:v>Online Booking, updated 2026-07-08: https://help.getjobber.com/en/articles/online-booking/</x:v>
      </x:c>
      <x:c r="C15" s="8" t="str">
        <x:v>https://help.getjobber.com/en/articles/online-booking/</x:v>
      </x:c>
      <x:c r="D15" s="17" t="n">
        <x:v>46299</x:v>
      </x:c>
      <x:c r="E15" s="8" t="str">
        <x:v>Primary-source search extraction inspected; full live-page/API behavior not separately verified</x:v>
      </x:c>
      <x:c r="F15" s="8" t="str">
        <x:v>Documented capability or policy; no execution proof</x:v>
      </x:c>
    </x:row>
    <x:row r="16" ht="77" customHeight="1">
      <x:c r="A16" s="13" t="str">
        <x:v>JOB5</x:v>
      </x:c>
      <x:c r="B16" s="13" t="str">
        <x:v>Connect Jobber to Claude and ChatGPT, updated 2026-10-01: https://help.getjobber.com/en/articles/connect-jobber-to-claude-and-chatgpt/</x:v>
      </x:c>
      <x:c r="C16" s="13" t="str">
        <x:v>https://help.getjobber.com/en/articles/connect-jobber-to-claude-and-chatgpt/</x:v>
      </x:c>
      <x:c r="D16" s="16" t="n">
        <x:v>46299</x:v>
      </x:c>
      <x:c r="E16" s="13" t="str">
        <x:v>Public primary page opened with full web extraction available; relevant contents inspected; no API call</x:v>
      </x:c>
      <x:c r="F16" s="13" t="str">
        <x:v>Documented capability or policy; no execution proof</x:v>
      </x:c>
    </x:row>
    <x:row r="17" ht="77" customHeight="1">
      <x:c r="A17" s="8" t="str">
        <x:v>JOB6</x:v>
      </x:c>
      <x:c r="B17" s="8" t="str">
        <x:v>Receptionist powered by Jobber AI: https://help.getjobber.com/en/articles/receptionistpowered-by-jobber-ai/</x:v>
      </x:c>
      <x:c r="C17" s="8" t="str">
        <x:v>https://help.getjobber.com/en/articles/receptionistpowered-by-jobber-ai/</x:v>
      </x:c>
      <x:c r="D17" s="17" t="n">
        <x:v>46299</x:v>
      </x:c>
      <x:c r="E17" s="8" t="str">
        <x:v>Public primary page opened with full web extraction available; relevant contents inspected; no API call</x:v>
      </x:c>
      <x:c r="F17" s="8" t="str">
        <x:v>Documented capability or policy; no execution proof</x:v>
      </x:c>
    </x:row>
    <x:row r="18" ht="77" customHeight="1">
      <x:c r="A18" s="13" t="str">
        <x:v>ST1</x:v>
      </x:c>
      <x:c r="B18" s="13" t="str">
        <x:v>Developer FAQ, undated/current: https://developer.servicetitan.io/docs/faqs/developers</x:v>
      </x:c>
      <x:c r="C18" s="13" t="str">
        <x:v>https://developer.servicetitan.io/docs/faqs/developers</x:v>
      </x:c>
      <x:c r="D18" s="16" t="n">
        <x:v>46299</x:v>
      </x:c>
      <x:c r="E18" s="13" t="str">
        <x:v>Primary-source search extraction inspected; full live-page/API behavior not separately verified</x:v>
      </x:c>
      <x:c r="F18" s="13" t="str">
        <x:v>Documented capability or policy; no execution proof</x:v>
      </x:c>
    </x:row>
    <x:row r="19" ht="77" customHeight="1">
      <x:c r="A19" s="8" t="str">
        <x:v>ST2</x:v>
      </x:c>
      <x:c r="B19" s="8" t="str">
        <x:v>First API Call: https://developer.servicetitan.io/docs/getting-started/first-api-call</x:v>
      </x:c>
      <x:c r="C19" s="8" t="str">
        <x:v>https://developer.servicetitan.io/docs/getting-started/first-api-call</x:v>
      </x:c>
      <x:c r="D19" s="17" t="n">
        <x:v>46299</x:v>
      </x:c>
      <x:c r="E19" s="8" t="str">
        <x:v>Primary-source search extraction inspected; full live-page/API behavior not separately verified</x:v>
      </x:c>
      <x:c r="F19" s="8" t="str">
        <x:v>Documented capability or policy; no execution proof</x:v>
      </x:c>
    </x:row>
    <x:row r="20" ht="77" customHeight="1">
      <x:c r="A20" s="13" t="str">
        <x:v>ST3</x:v>
      </x:c>
      <x:c r="B20" s="13" t="str">
        <x:v>Bookings_Create, browser: https://developer.servicetitan.io/docs/apis/tenant-crm-v2/endpoints/Bookings_Create</x:v>
      </x:c>
      <x:c r="C20" s="13" t="str">
        <x:v>https://developer.servicetitan.io/docs/apis/tenant-crm-v2/endpoints/Bookings_Create</x:v>
      </x:c>
      <x:c r="D20" s="16" t="n">
        <x:v>46299</x:v>
      </x:c>
      <x:c r="E20" s="13" t="str">
        <x:v>Public primary page rendered and read in cloud browser; no API call</x:v>
      </x:c>
      <x:c r="F20" s="13" t="str">
        <x:v>Documented capability or policy; no execution proof</x:v>
      </x:c>
    </x:row>
    <x:row r="21" ht="77" customHeight="1">
      <x:c r="A21" s="8" t="str">
        <x:v>ST4</x:v>
      </x:c>
      <x:c r="B21" s="8" t="str">
        <x:v>Jobs_Create and lifecycle sidebar, browser: https://developer.servicetitan.io/docs/apis/tenant-jpm-v2/endpoints/Jobs_Create</x:v>
      </x:c>
      <x:c r="C21" s="8" t="str">
        <x:v>https://developer.servicetitan.io/docs/apis/tenant-jpm-v2/endpoints/Jobs_Create</x:v>
      </x:c>
      <x:c r="D21" s="17" t="n">
        <x:v>46299</x:v>
      </x:c>
      <x:c r="E21" s="8" t="str">
        <x:v>Public primary page rendered and read in cloud browser; no API call</x:v>
      </x:c>
      <x:c r="F21" s="8" t="str">
        <x:v>Documented capability or policy; no execution proof</x:v>
      </x:c>
    </x:row>
    <x:row r="22" ht="77" customHeight="1">
      <x:c r="A22" s="13" t="str">
        <x:v>ST5</x:v>
      </x:c>
      <x:c r="B22" s="13" t="str">
        <x:v>Book Jobs &amp; Schedule Appointments, updated 2026-07-11: https://help.servicetitan.com/docs/book-jobs-and-schedule-appointments</x:v>
      </x:c>
      <x:c r="C22" s="13" t="str">
        <x:v>https://help.servicetitan.com/docs/book-jobs-and-schedule-appointments</x:v>
      </x:c>
      <x:c r="D22" s="16" t="n">
        <x:v>46299</x:v>
      </x:c>
      <x:c r="E22" s="13" t="str">
        <x:v>Primary-source search extraction inspected; full live-page/API behavior not separately verified</x:v>
      </x:c>
      <x:c r="F22" s="13" t="str">
        <x:v>Documented capability or policy; no execution proof</x:v>
      </x:c>
    </x:row>
    <x:row r="23" ht="77" customHeight="1">
      <x:c r="A23" s="8" t="str">
        <x:v>ST6</x:v>
      </x:c>
      <x:c r="B23" s="8" t="str">
        <x:v>Capacity configuration in ServiceTitan Max, updated 2026-07-11: https://help.servicetitan.com/docs/set-up-capacity-and-availability-with-scheduling-pro-in-servicetitan-max</x:v>
      </x:c>
      <x:c r="C23" s="8" t="str">
        <x:v>https://help.servicetitan.com/docs/set-up-capacity-and-availability-with-scheduling-pro-in-servicetitan-max</x:v>
      </x:c>
      <x:c r="D23" s="17" t="n">
        <x:v>46299</x:v>
      </x:c>
      <x:c r="E23" s="8" t="str">
        <x:v>Primary-source search extraction inspected; full live-page/API behavior not separately verified</x:v>
      </x:c>
      <x:c r="F23" s="8" t="str">
        <x:v>Documented capability or policy; no execution proof</x:v>
      </x:c>
    </x:row>
    <x:row r="24" ht="77" customHeight="1">
      <x:c r="A24" s="13" t="str">
        <x:v>ST7</x:v>
      </x:c>
      <x:c r="B24" s="13" t="str">
        <x:v>Appointments_Get: https://developer.servicetitan.io/docs/apis/tenant-jpm-v2/endpoints/Appointments_Get</x:v>
      </x:c>
      <x:c r="C24" s="13" t="str">
        <x:v>https://developer.servicetitan.io/docs/apis/tenant-jpm-v2/endpoints/Appointments_Get</x:v>
      </x:c>
      <x:c r="D24" s="16" t="n">
        <x:v>46299</x:v>
      </x:c>
      <x:c r="E24" s="13" t="str">
        <x:v>Primary-source search extraction inspected; full live-page/API behavior not separately verified</x:v>
      </x:c>
      <x:c r="F24" s="13" t="str">
        <x:v>Documented capability or policy; no execution proof</x:v>
      </x:c>
    </x:row>
    <x:row r="25" ht="77" customHeight="1">
      <x:c r="A25" s="8" t="str">
        <x:v>SQ1</x:v>
      </x:c>
      <x:c r="B25" s="8" t="str">
        <x:v>Bookings API: https://developer.squareup.com/docs/bookings-api/what-it-is</x:v>
      </x:c>
      <x:c r="C25" s="8" t="str">
        <x:v>https://developer.squareup.com/docs/bookings-api/what-it-is</x:v>
      </x:c>
      <x:c r="D25" s="17" t="n">
        <x:v>46299</x:v>
      </x:c>
      <x:c r="E25" s="8" t="str">
        <x:v>Public primary page opened with full web extraction available; relevant contents inspected; no API call</x:v>
      </x:c>
      <x:c r="F25" s="8" t="str">
        <x:v>Documented capability or policy; no execution proof</x:v>
      </x:c>
    </x:row>
    <x:row r="26" ht="77" customHeight="1">
      <x:c r="A26" s="13" t="str">
        <x:v>SQ2</x:v>
      </x:c>
      <x:c r="B26" s="13" t="str">
        <x:v>Bookings API Concepts: https://developer.squareup.com/docs/bookings-api/get-ready-to-use-the-api</x:v>
      </x:c>
      <x:c r="C26" s="13" t="str">
        <x:v>https://developer.squareup.com/docs/bookings-api/get-ready-to-use-the-api</x:v>
      </x:c>
      <x:c r="D26" s="16" t="n">
        <x:v>46299</x:v>
      </x:c>
      <x:c r="E26" s="13" t="str">
        <x:v>Primary-source search extraction inspected; full live-page/API behavior not separately verified</x:v>
      </x:c>
      <x:c r="F26" s="13" t="str">
        <x:v>Documented capability or policy; no execution proof</x:v>
      </x:c>
    </x:row>
    <x:row r="27" ht="77" customHeight="1">
      <x:c r="A27" s="8" t="str">
        <x:v>SQ3</x:v>
      </x:c>
      <x:c r="B27" s="8" t="str">
        <x:v>CreateBooking, reference showed API version 2026-09-16: https://developer.squareup.com/reference/square/bookings/create-booking</x:v>
      </x:c>
      <x:c r="C27" s="8" t="str">
        <x:v>https://developer.squareup.com/reference/square/bookings/create-booking</x:v>
      </x:c>
      <x:c r="D27" s="17" t="n">
        <x:v>46299</x:v>
      </x:c>
      <x:c r="E27" s="8" t="str">
        <x:v>Primary-source search extraction inspected; full live-page/API behavior not separately verified</x:v>
      </x:c>
      <x:c r="F27" s="8" t="str">
        <x:v>Documented capability or policy; no execution proof</x:v>
      </x:c>
    </x:row>
    <x:row r="28" ht="77" customHeight="1">
      <x:c r="A28" s="13" t="str">
        <x:v>SQ4</x:v>
      </x:c>
      <x:c r="B28" s="13" t="str">
        <x:v>Create and Manage Bookings: https://developer.squareup.com/docs/bookings-api/use-the-api</x:v>
      </x:c>
      <x:c r="C28" s="13" t="str">
        <x:v>https://developer.squareup.com/docs/bookings-api/use-the-api</x:v>
      </x:c>
      <x:c r="D28" s="16" t="n">
        <x:v>46299</x:v>
      </x:c>
      <x:c r="E28" s="13" t="str">
        <x:v>Public primary page opened with full web extraction available; relevant contents inspected; no API call</x:v>
      </x:c>
      <x:c r="F28" s="13" t="str">
        <x:v>Documented capability or policy; no execution proof</x:v>
      </x:c>
    </x:row>
    <x:row r="29" ht="77" customHeight="1">
      <x:c r="A29" s="8" t="str">
        <x:v>SQ5</x:v>
      </x:c>
      <x:c r="B29" s="8" t="str">
        <x:v>Handle Bookings Webhooks: https://developer.squareup.com/docs/bookings-api/use-webhooks</x:v>
      </x:c>
      <x:c r="C29" s="8" t="str">
        <x:v>https://developer.squareup.com/docs/bookings-api/use-webhooks</x:v>
      </x:c>
      <x:c r="D29" s="17" t="n">
        <x:v>46299</x:v>
      </x:c>
      <x:c r="E29" s="8" t="str">
        <x:v>Public primary page opened with full web extraction available; relevant contents inspected; no API call</x:v>
      </x:c>
      <x:c r="F29" s="8" t="str">
        <x:v>Documented capability or policy; no execution proof</x:v>
      </x:c>
    </x:row>
    <x:row r="30" ht="77" customHeight="1">
      <x:c r="A30" s="13" t="str">
        <x:v>SQ6</x:v>
      </x:c>
      <x:c r="B30" s="13" t="str">
        <x:v>CancelBooking, 2026-09-16: https://developer.squareup.com/reference/square/bookings-api/CancelBooking</x:v>
      </x:c>
      <x:c r="C30" s="13" t="str">
        <x:v>https://developer.squareup.com/reference/square/bookings-api/CancelBooking</x:v>
      </x:c>
      <x:c r="D30" s="16" t="n">
        <x:v>46299</x:v>
      </x:c>
      <x:c r="E30" s="13" t="str">
        <x:v>Primary-source search extraction inspected; full live-page/API behavior not separately verified</x:v>
      </x:c>
      <x:c r="F30" s="13" t="str">
        <x:v>Documented capability or policy; no execution proof</x:v>
      </x:c>
    </x:row>
    <x:row r="31" ht="77" customHeight="1">
      <x:c r="A31" s="8" t="str">
        <x:v>MB1</x:v>
      </x:c>
      <x:c r="B31" s="8" t="str">
        <x:v>Mindbody developer portal current API pricing, corroborated in live cloud-browser DOM on 2026-10-04; contractual applicability unverified</x:v>
      </x:c>
      <x:c r="C31" s="8" t="str">
        <x:v>https://developers.mindbodyonline.com/</x:v>
      </x:c>
      <x:c r="D31" s="17" t="n">
        <x:v>46299</x:v>
      </x:c>
      <x:c r="E31" s="8" t="str">
        <x:v>Public primary page rendered and read in cloud browser; no API call</x:v>
      </x:c>
      <x:c r="F31" s="8" t="str">
        <x:v>Documented capability or policy; no execution proof</x:v>
      </x:c>
    </x:row>
    <x:row r="32" ht="77" customHeight="1">
      <x:c r="A32" s="13" t="str">
        <x:v>MB2</x:v>
      </x:c>
      <x:c r="B32" s="13" t="str">
        <x:v>Activation FAQ: https://developers.mindbodyonline.com/resources/faqs</x:v>
      </x:c>
      <x:c r="C32" s="13" t="str">
        <x:v>https://developers.mindbodyonline.com/resources/faqs</x:v>
      </x:c>
      <x:c r="D32" s="16" t="n">
        <x:v>46299</x:v>
      </x:c>
      <x:c r="E32" s="13" t="str">
        <x:v>Primary-source search extraction inspected; full live-page/API behavior not separately verified</x:v>
      </x:c>
      <x:c r="F32" s="13" t="str">
        <x:v>Documented capability or policy; no execution proof</x:v>
      </x:c>
    </x:row>
    <x:row r="33" ht="77" customHeight="1">
      <x:c r="A33" s="8" t="str">
        <x:v>MB3</x:v>
      </x:c>
      <x:c r="B33" s="8" t="str">
        <x:v>Webhooks documentation: https://developers.mindbodyonline.com/WebhooksDocumentation</x:v>
      </x:c>
      <x:c r="C33" s="8" t="str">
        <x:v>https://developers.mindbodyonline.com/WebhooksDocumentation</x:v>
      </x:c>
      <x:c r="D33" s="17" t="n">
        <x:v>46299</x:v>
      </x:c>
      <x:c r="E33" s="8" t="str">
        <x:v>Public primary page opened with full web extraction available; relevant contents inspected; no API call</x:v>
      </x:c>
      <x:c r="F33" s="8" t="str">
        <x:v>Documented capability or policy; no execution proof</x:v>
      </x:c>
    </x:row>
    <x:row r="34" ht="77" customHeight="1">
      <x:c r="A34" s="13" t="str">
        <x:v>MB4</x:v>
      </x:c>
      <x:c r="B34" s="13" t="str">
        <x:v>API release notes, including 2025-09 through 2026-05 changes: https://developers.mindbodyonline.com/Resources/ApiReleaseNotes</x:v>
      </x:c>
      <x:c r="C34" s="13" t="str">
        <x:v>https://developers.mindbodyonline.com/Resources/ApiReleaseNotes</x:v>
      </x:c>
      <x:c r="D34" s="16" t="n">
        <x:v>46299</x:v>
      </x:c>
      <x:c r="E34" s="13" t="str">
        <x:v>Public primary page opened with full web extraction available; relevant contents inspected; no API call</x:v>
      </x:c>
      <x:c r="F34" s="13" t="str">
        <x:v>Documented capability or policy; no execution proof</x:v>
      </x:c>
    </x:row>
    <x:row r="35" ht="77" customHeight="1">
      <x:c r="A35" s="8" t="str">
        <x:v>MB5</x:v>
      </x:c>
      <x:c r="B35" s="8" t="str">
        <x:v>Affiliate API documentation: https://developers.mindbodyonline.com/AffiliateDocumentation</x:v>
      </x:c>
      <x:c r="C35" s="8" t="str">
        <x:v>https://developers.mindbodyonline.com/AffiliateDocumentation</x:v>
      </x:c>
      <x:c r="D35" s="17" t="n">
        <x:v>46299</x:v>
      </x:c>
      <x:c r="E35" s="8" t="str">
        <x:v>Public primary page opened with full web extraction available; relevant contents inspected; no API call</x:v>
      </x:c>
      <x:c r="F35" s="8" t="str">
        <x:v>Documented capability or policy; no execution proof</x:v>
      </x:c>
    </x:row>
    <x:row r="36" ht="77" customHeight="1">
      <x:c r="A36" s="13" t="str">
        <x:v>VAG1</x:v>
      </x:c>
      <x:c r="B36" s="13" t="str">
        <x:v>Set Up Webhooks, updated 2026-03-26: https://support.vagaro.com/hc/en-us/articles/29521637950875-Set-Up-Webhooks-From-Vagaro</x:v>
      </x:c>
      <x:c r="C36" s="13" t="str">
        <x:v>https://support.vagaro.com/hc/en-us/articles/29521637950875-Set-Up-Webhooks-From-Vagaro</x:v>
      </x:c>
      <x:c r="D36" s="16" t="n">
        <x:v>46299</x:v>
      </x:c>
      <x:c r="E36" s="13" t="str">
        <x:v>Public primary page opened with full web extraction available; relevant contents inspected; no API call</x:v>
      </x:c>
      <x:c r="F36" s="13" t="str">
        <x:v>Documented capability or policy; no execution proof</x:v>
      </x:c>
    </x:row>
    <x:row r="37" ht="77" customHeight="1">
      <x:c r="A37" s="8" t="str">
        <x:v>VAG2</x:v>
      </x:c>
      <x:c r="B37" s="8" t="str">
        <x:v>Search Appointment Availability; browser observed “updated 6 months ago”: https://docs.vagaro.com/public/reference/search-availability</x:v>
      </x:c>
      <x:c r="C37" s="8" t="str">
        <x:v>https://docs.vagaro.com/public/reference/search-availability</x:v>
      </x:c>
      <x:c r="D37" s="17" t="n">
        <x:v>46299</x:v>
      </x:c>
      <x:c r="E37" s="8" t="str">
        <x:v>Public primary page rendered and read in cloud browser; no API call</x:v>
      </x:c>
      <x:c r="F37" s="8" t="str">
        <x:v>Documented capability or policy; no execution proof</x:v>
      </x:c>
    </x:row>
    <x:row r="38" ht="77" customHeight="1">
      <x:c r="A38" s="13" t="str">
        <x:v>VAG3</x:v>
      </x:c>
      <x:c r="B38" s="13" t="str">
        <x:v>Introduction and full public sidebar; browser: https://docs.vagaro.com/public/reference/api-introduction</x:v>
      </x:c>
      <x:c r="C38" s="13" t="str">
        <x:v>https://docs.vagaro.com/public/reference/api-introduction</x:v>
      </x:c>
      <x:c r="D38" s="16" t="n">
        <x:v>46299</x:v>
      </x:c>
      <x:c r="E38" s="13" t="str">
        <x:v>Public primary page rendered and read in cloud browser; no API call</x:v>
      </x:c>
      <x:c r="F38" s="13" t="str">
        <x:v>Documented capability or policy; no execution proof</x:v>
      </x:c>
    </x:row>
    <x:row r="39" ht="77" customHeight="1">
      <x:c r="A39" s="8" t="str">
        <x:v>FRE1</x:v>
      </x:c>
      <x:c r="B39" s="8" t="str">
        <x:v>Data connector overview, undated: https://www.fresha.com/help-center/knowledge-base/reports/432-data-connector-overview</x:v>
      </x:c>
      <x:c r="C39" s="8" t="str">
        <x:v>https://www.fresha.com/help-center/knowledge-base/reports/432-data-connector-overview</x:v>
      </x:c>
      <x:c r="D39" s="17" t="n">
        <x:v>46299</x:v>
      </x:c>
      <x:c r="E39" s="8" t="str">
        <x:v>Primary-source search extraction inspected; full live-page/API behavior not separately verified</x:v>
      </x:c>
      <x:c r="F39" s="8" t="str">
        <x:v>Documented capability or policy; no execution proof</x:v>
      </x:c>
    </x:row>
    <x:row r="40" ht="77" customHeight="1">
      <x:c r="A40" s="13" t="str">
        <x:v>FRE2</x:v>
      </x:c>
      <x:c r="B40" s="13" t="str">
        <x:v>Create new Data connections: https://www.fresha.com/help-center/knowledge-base/reports/479-available-data-connector-tools</x:v>
      </x:c>
      <x:c r="C40" s="13" t="str">
        <x:v>https://www.fresha.com/help-center/knowledge-base/reports/479-available-data-connector-tools</x:v>
      </x:c>
      <x:c r="D40" s="16" t="n">
        <x:v>46299</x:v>
      </x:c>
      <x:c r="E40" s="13" t="str">
        <x:v>Primary-source search extraction inspected; full live-page/API behavior not separately verified</x:v>
      </x:c>
      <x:c r="F40" s="13" t="str">
        <x:v>Documented capability or policy; no execution proof</x:v>
      </x:c>
    </x:row>
    <x:row r="41" ht="77" customHeight="1">
      <x:c r="A41" s="8" t="str">
        <x:v>OT1</x:v>
      </x:c>
      <x:c r="B41" s="8" t="str">
        <x:v>OpenTable API docs, undated current Consumer v2: https://docs.opentable.com/</x:v>
      </x:c>
      <x:c r="C41" s="8" t="str">
        <x:v>https://docs.opentable.com/</x:v>
      </x:c>
      <x:c r="D41" s="17" t="n">
        <x:v>46299</x:v>
      </x:c>
      <x:c r="E41" s="8" t="str">
        <x:v>Primary-source search extraction inspected; full live-page/API behavior not separately verified</x:v>
      </x:c>
      <x:c r="F41" s="8" t="str">
        <x:v>Documented capability or policy; no execution proof</x:v>
      </x:c>
    </x:row>
    <x:row r="42" ht="77" customHeight="1">
      <x:c r="A42" s="13" t="str">
        <x:v>OT2</x:v>
      </x:c>
      <x:c r="B42" s="13" t="str">
        <x:v>Developer terms, review and purpose-change restrictions: https://www.opentable.com/restaurant-solutions/api-partners/terms-and-conditions/</x:v>
      </x:c>
      <x:c r="C42" s="13" t="str">
        <x:v>https://www.opentable.com/restaurant-solutions/api-partners/terms-and-conditions/</x:v>
      </x:c>
      <x:c r="D42" s="16" t="n">
        <x:v>46299</x:v>
      </x:c>
      <x:c r="E42" s="13" t="str">
        <x:v>Public primary page opened with full web extraction available; relevant contents inspected; no API call</x:v>
      </x:c>
      <x:c r="F42" s="13" t="str">
        <x:v>Documented capability or policy; no execution proof</x:v>
      </x:c>
    </x:row>
    <x:row r="43" ht="77" customHeight="1">
      <x:c r="A43" s="8" t="str">
        <x:v>CAL1</x:v>
      </x:c>
      <x:c r="B43" s="8" t="str">
        <x:v>Create Event Invitee: https://developer.calendly.com/api-docs/calendly-api/scheduled-events/create-event-invitee</x:v>
      </x:c>
      <x:c r="C43" s="8" t="str">
        <x:v>https://developer.calendly.com/api-docs/calendly-api/scheduled-events/create-event-invitee</x:v>
      </x:c>
      <x:c r="D43" s="17" t="n">
        <x:v>46299</x:v>
      </x:c>
      <x:c r="E43" s="8" t="str">
        <x:v>Primary-source search extraction inspected; full live-page/API behavior not separately verified</x:v>
      </x:c>
      <x:c r="F43" s="8" t="str">
        <x:v>Documented capability or policy; no execution proof</x:v>
      </x:c>
    </x:row>
    <x:row r="44" ht="77" customHeight="1">
      <x:c r="A44" s="13" t="str">
        <x:v>CAL2</x:v>
      </x:c>
      <x:c r="B44" s="13" t="str">
        <x:v>Schedule Events with AI Agents: https://developer.calendly.com/docs/api-guides/schedule-events-with-ai-agents</x:v>
      </x:c>
      <x:c r="C44" s="13" t="str">
        <x:v>https://developer.calendly.com/docs/api-guides/schedule-events-with-ai-agents</x:v>
      </x:c>
      <x:c r="D44" s="16" t="n">
        <x:v>46299</x:v>
      </x:c>
      <x:c r="E44" s="13" t="str">
        <x:v>Public primary page opened with full web extraction available; relevant contents inspected; no API call</x:v>
      </x:c>
      <x:c r="F44" s="13" t="str">
        <x:v>Documented capability or policy; no execution proof</x:v>
      </x:c>
    </x:row>
    <x:row r="45" ht="77" customHeight="1">
      <x:c r="A45" s="8" t="str">
        <x:v>CAL3</x:v>
      </x:c>
      <x:c r="B45" s="8" t="str">
        <x:v>MCP supported tools: https://developer.calendly.com/docs/mcp/supported-tools</x:v>
      </x:c>
      <x:c r="C45" s="8" t="str">
        <x:v>https://developer.calendly.com/docs/mcp/supported-tools</x:v>
      </x:c>
      <x:c r="D45" s="17" t="n">
        <x:v>46299</x:v>
      </x:c>
      <x:c r="E45" s="8" t="str">
        <x:v>Public primary page opened with full web extraction available; relevant contents inspected; no API call</x:v>
      </x:c>
      <x:c r="F45" s="8" t="str">
        <x:v>Documented capability or policy; no execution proof</x:v>
      </x:c>
    </x:row>
    <x:row r="46" ht="77" customHeight="1">
      <x:c r="A46" s="13" t="str">
        <x:v>ONC1</x:v>
      </x:c>
      <x:c r="B46" s="13" t="str">
        <x:v>February 12, 2026 MCP announcement, updated 2026-07-31: https://help.oncehub.com/help/feb-12-2026-mcp-server-expanded-zapier-integration</x:v>
      </x:c>
      <x:c r="C46" s="13" t="str">
        <x:v>https://help.oncehub.com/help/feb-12-2026-mcp-server-expanded-zapier-integration</x:v>
      </x:c>
      <x:c r="D46" s="16" t="n">
        <x:v>46299</x:v>
      </x:c>
      <x:c r="E46" s="13" t="str">
        <x:v>Primary-source search extraction inspected; full live-page/API behavior not separately verified</x:v>
      </x:c>
      <x:c r="F46" s="13" t="str">
        <x:v>Documented capability or policy; no execution proof</x:v>
      </x:c>
    </x:row>
    <x:row r="47" ht="77" customHeight="1">
      <x:c r="A47" s="8" t="str">
        <x:v>ONC2</x:v>
      </x:c>
      <x:c r="B47" s="8" t="str">
        <x:v>Developer introduction, updated 2026-09-07: https://help.oncehub.com/developers/overview/introduction</x:v>
      </x:c>
      <x:c r="C47" s="8" t="str">
        <x:v>https://help.oncehub.com/developers/overview/introduction</x:v>
      </x:c>
      <x:c r="D47" s="17" t="n">
        <x:v>46299</x:v>
      </x:c>
      <x:c r="E47" s="8" t="str">
        <x:v>Public primary page opened with full web extraction available; relevant contents inspected; no API call</x:v>
      </x:c>
      <x:c r="F47" s="8" t="str">
        <x:v>Documented capability or policy; no execution proof</x:v>
      </x:c>
    </x:row>
    <x:row r="48" ht="77" customHeight="1">
      <x:c r="A48" s="13" t="str">
        <x:v>ONC3</x:v>
      </x:c>
      <x:c r="B48" s="13" t="str">
        <x:v>MCP server tools: https://help.oncehub.com/developers/mcp-server/tools</x:v>
      </x:c>
      <x:c r="C48" s="13" t="str">
        <x:v>https://help.oncehub.com/developers/mcp-server/tools</x:v>
      </x:c>
      <x:c r="D48" s="16" t="n">
        <x:v>46299</x:v>
      </x:c>
      <x:c r="E48" s="13" t="str">
        <x:v>Primary-source search extraction inspected; full live-page/API behavior not separately verified</x:v>
      </x:c>
      <x:c r="F48" s="13" t="str">
        <x:v>Documented capability or policy; no execution proof</x:v>
      </x:c>
    </x:row>
    <x:row r="49" ht="77" customHeight="1">
      <x:c r="A49" s="8" t="str">
        <x:v>ONC4</x:v>
      </x:c>
      <x:c r="B49" s="8" t="str">
        <x:v>September 17 release, updated 2026-09-21: https://help.oncehub.com/whats-new/2026-09-17-booking-calendar-owner-booking-calendars-lobby-australian-phone-numbers-mcp-tool-customizable-contact-statuses/</x:v>
      </x:c>
      <x:c r="C49" s="8" t="str">
        <x:v>https://help.oncehub.com/whats-new/2026-09-17-booking-calendar-owner-booking-calendars-lobby-australian-phone-numbers-mcp-tool-customizable-contact-statuses/</x:v>
      </x:c>
      <x:c r="D49" s="17" t="n">
        <x:v>46299</x:v>
      </x:c>
      <x:c r="E49" s="8" t="str">
        <x:v>Primary-source search extraction inspected; full live-page/API behavior not separately verified</x:v>
      </x:c>
      <x:c r="F49" s="8" t="str">
        <x:v>Documented capability or policy; no execution proof</x:v>
      </x:c>
    </x:row>
    <x:row r="50" ht="77" customHeight="1">
      <x:c r="A50" s="13" t="str">
        <x:v>AUTO1</x:v>
      </x:c>
      <x:c r="B50" s="13" t="str">
        <x:v>Shopmonkey Appointment API v3, undated: https://shopmonkey.dev/resources/appointment</x:v>
      </x:c>
      <x:c r="C50" s="13" t="str">
        <x:v>https://shopmonkey.dev/resources/appointment</x:v>
      </x:c>
      <x:c r="D50" s="16" t="n">
        <x:v>46299</x:v>
      </x:c>
      <x:c r="E50" s="13" t="str">
        <x:v>Public primary page opened with full web extraction available; relevant contents inspected; no API call</x:v>
      </x:c>
      <x:c r="F50" s="13" t="str">
        <x:v>Documented capability or policy; no execution proof</x:v>
      </x:c>
    </x:row>
    <x:row r="51" ht="77" customHeight="1">
      <x:c r="A51" s="8" t="str">
        <x:v>AUTO2</x:v>
      </x:c>
      <x:c r="B51" s="8" t="str">
        <x:v>Shopmonkey authentication/rate limits: https://shopmonkey.dev/overview</x:v>
      </x:c>
      <x:c r="C51" s="8" t="str">
        <x:v>https://shopmonkey.dev/overview</x:v>
      </x:c>
      <x:c r="D51" s="17" t="n">
        <x:v>46299</x:v>
      </x:c>
      <x:c r="E51" s="8" t="str">
        <x:v>Public primary page opened with full web extraction available; relevant contents inspected; no API call</x:v>
      </x:c>
      <x:c r="F51" s="8" t="str">
        <x:v>Documented capability or policy; no execution proof</x:v>
      </x:c>
    </x:row>
    <x:row r="52" ht="77" customHeight="1">
      <x:c r="A52" s="13" t="str">
        <x:v>AUTO3</x:v>
      </x:c>
      <x:c r="B52" s="13" t="str">
        <x:v>Shopmonkey Webhooks: https://shopmonkey.dev/webhooks</x:v>
      </x:c>
      <x:c r="C52" s="13" t="str">
        <x:v>https://shopmonkey.dev/webhooks</x:v>
      </x:c>
      <x:c r="D52" s="16" t="n">
        <x:v>46299</x:v>
      </x:c>
      <x:c r="E52" s="13" t="str">
        <x:v>Public primary page opened with full web extraction available; relevant contents inspected; no API call</x:v>
      </x:c>
      <x:c r="F52" s="13" t="str">
        <x:v>Documented capability or policy; no execution proof</x:v>
      </x:c>
    </x:row>
    <x:row r="53" ht="77" customHeight="1">
      <x:c r="A53" s="8" t="str">
        <x:v>AUTO4</x:v>
      </x:c>
      <x:c r="B53" s="8" t="str">
        <x:v>Tekmetric native widget setup: https://support.tekmetric.com/hc/en-us/articles/28473625801623-Installing-Tekmetric-Online-Booking</x:v>
      </x:c>
      <x:c r="C53" s="8" t="str">
        <x:v>https://support.tekmetric.com/hc/en-us/articles/28473625801623-Installing-Tekmetric-Online-Booking</x:v>
      </x:c>
      <x:c r="D53" s="17" t="n">
        <x:v>46299</x:v>
      </x:c>
      <x:c r="E53" s="8" t="str">
        <x:v>Primary-source search extraction inspected; full live-page/API behavior not separately verified</x:v>
      </x:c>
      <x:c r="F53" s="8" t="str">
        <x:v>Documented capability or policy; no execution proof</x:v>
      </x:c>
    </x:row>
    <x:row r="54" ht="77" customHeight="1">
      <x:c r="A54" s="13" t="str">
        <x:v>PET1</x:v>
      </x:c>
      <x:c r="B54" s="13" t="str">
        <x:v>Gingr older API functions: https://support.gingrapp.com/hc/en-us/articles/25722122517517-Gingr-API-Functions-Reference</x:v>
      </x:c>
      <x:c r="C54" s="13" t="str">
        <x:v>https://support.gingrapp.com/hc/en-us/articles/25722122517517-Gingr-API-Functions-Reference</x:v>
      </x:c>
      <x:c r="D54" s="16" t="n">
        <x:v>46299</x:v>
      </x:c>
      <x:c r="E54" s="13" t="str">
        <x:v>Primary-source search extraction inspected; full live-page/API behavior not separately verified</x:v>
      </x:c>
      <x:c r="F54" s="13" t="str">
        <x:v>Documented capability or policy; no execution proof</x:v>
      </x:c>
    </x:row>
    <x:row r="55" ht="77" customHeight="1">
      <x:c r="A55" s="8" t="str">
        <x:v>PET2</x:v>
      </x:c>
      <x:c r="B55" s="8" t="str">
        <x:v>Gingr Partner API release notes, historical dated entries plus current undated v1.9.0: https://api-docs.gingrapp.com/release_notes.html</x:v>
      </x:c>
      <x:c r="C55" s="8" t="str">
        <x:v>https://api-docs.gingrapp.com/release_notes.html</x:v>
      </x:c>
      <x:c r="D55" s="17" t="n">
        <x:v>46299</x:v>
      </x:c>
      <x:c r="E55" s="8" t="str">
        <x:v>Primary-source search extraction inspected; full live-page/API behavior not separately verified</x:v>
      </x:c>
      <x:c r="F55" s="8" t="str">
        <x:v>Documented capability or policy; no execution proof</x:v>
      </x:c>
    </x:row>
    <x:row r="56" ht="77" customHeight="1">
      <x:c r="A56" s="13" t="str">
        <x:v>PET3</x:v>
      </x:c>
      <x:c r="B56" s="13" t="str">
        <x:v>Gingr new public OpenAPI index v1.8.1: https://docs.gingr.io/documentation</x:v>
      </x:c>
      <x:c r="C56" s="13" t="str">
        <x:v>https://docs.gingr.io/documentation</x:v>
      </x:c>
      <x:c r="D56" s="16" t="n">
        <x:v>46299</x:v>
      </x:c>
      <x:c r="E56" s="13" t="str">
        <x:v>Primary-source search extraction inspected; full live-page/API behavior not separately verified</x:v>
      </x:c>
      <x:c r="F56" s="13" t="str">
        <x:v>Documented capability or policy; no execution proof</x:v>
      </x:c>
    </x:row>
    <x:row r="57" ht="77" customHeight="1">
      <x:c r="A57" s="8" t="str">
        <x:v>PET4</x:v>
      </x:c>
      <x:c r="B57" s="8" t="str">
        <x:v>MoeGo official pricing, API platform under Enterprise: https://www.moego.pet/pricing</x:v>
      </x:c>
      <x:c r="C57" s="8" t="str">
        <x:v>https://www.moego.pet/pricing</x:v>
      </x:c>
      <x:c r="D57" s="17" t="n">
        <x:v>46299</x:v>
      </x:c>
      <x:c r="E57" s="8" t="str">
        <x:v>Primary-source search extraction inspected; full live-page/API behavior not separately verified</x:v>
      </x:c>
      <x:c r="F57" s="8" t="str">
        <x:v>Documented capability or policy; no execution proof</x:v>
      </x:c>
    </x:row>
    <x:row r="58" ht="77" customHeight="1">
      <x:c r="A58" s="13" t="str">
        <x:v>PET5</x:v>
      </x:c>
      <x:c r="B58" s="13" t="str">
        <x:v>MoeGo-published appointment API docs; publisher provenance confirmed by GitHub organization domain verification (PET6); production contract/entitlement untested</x:v>
      </x:c>
      <x:c r="C58" s="13" t="str">
        <x:v>https://moegolibrary.github.io/moegoapis/docs/appointment.html</x:v>
      </x:c>
      <x:c r="D58" s="16" t="n">
        <x:v>46299</x:v>
      </x:c>
      <x:c r="E58" s="13" t="str">
        <x:v>Public primary page opened with full web extraction available; relevant contents inspected; no API call</x:v>
      </x:c>
      <x:c r="F58" s="13" t="str">
        <x:v>Documented capability or policy; no execution proof</x:v>
      </x:c>
    </x:row>
    <x:row r="59" ht="77" customHeight="1">
      <x:c r="A59" s="8" t="str">
        <x:v>HEALTH1</x:v>
      </x:c>
      <x:c r="B59" s="8" t="str">
        <x:v>NexHealth Getting Started: https://docs.nexhealth.com/docs/getting-started</x:v>
      </x:c>
      <x:c r="C59" s="8" t="str">
        <x:v>https://docs.nexhealth.com/docs/getting-started</x:v>
      </x:c>
      <x:c r="D59" s="17" t="n">
        <x:v>46299</x:v>
      </x:c>
      <x:c r="E59" s="8" t="str">
        <x:v>Primary-source search extraction inspected; full live-page/API behavior not separately verified</x:v>
      </x:c>
      <x:c r="F59" s="8" t="str">
        <x:v>Documented capability or policy; no execution proof</x:v>
      </x:c>
    </x:row>
    <x:row r="60" ht="77" customHeight="1">
      <x:c r="A60" s="13" t="str">
        <x:v>HEALTH2</x:v>
      </x:c>
      <x:c r="B60" s="13" t="str">
        <x:v>NexHealth sandbox versus production quickstart: https://docs.nexhealth.com/docs/scheduling-quickstart-guide</x:v>
      </x:c>
      <x:c r="C60" s="13" t="str">
        <x:v>https://docs.nexhealth.com/docs/scheduling-quickstart-guide</x:v>
      </x:c>
      <x:c r="D60" s="16" t="n">
        <x:v>46299</x:v>
      </x:c>
      <x:c r="E60" s="13" t="str">
        <x:v>Public primary page opened with full web extraction available; relevant contents inspected; no API call</x:v>
      </x:c>
      <x:c r="F60" s="13" t="str">
        <x:v>Documented capability or policy; no execution proof</x:v>
      </x:c>
    </x:row>
    <x:row r="61" ht="77" customHeight="1">
      <x:c r="A61" s="8" t="str">
        <x:v>HEALTH3</x:v>
      </x:c>
      <x:c r="B61" s="8" t="str">
        <x:v>NexHealth Appointments overview, v3.0.0/v20240412, showed updated 3 days ago: https://docs.nexhealth.com/reference/appointments-1</x:v>
      </x:c>
      <x:c r="C61" s="8" t="str">
        <x:v>https://docs.nexhealth.com/reference/appointments-1</x:v>
      </x:c>
      <x:c r="D61" s="17" t="n">
        <x:v>46299</x:v>
      </x:c>
      <x:c r="E61" s="8" t="str">
        <x:v>Public primary page opened with full web extraction available; relevant contents inspected; no API call</x:v>
      </x:c>
      <x:c r="F61" s="8" t="str">
        <x:v>Documented capability or policy; no execution proof</x:v>
      </x:c>
    </x:row>
    <x:row r="62" ht="77" customHeight="1">
      <x:c r="A62" s="13" t="str">
        <x:v>HEALTH4</x:v>
      </x:c>
      <x:c r="B62" s="13" t="str">
        <x:v>NexHealth current PATCH reference, EHR-specific reschedule support: https://docs.nexhealth.com/reference/patchappointmentsid</x:v>
      </x:c>
      <x:c r="C62" s="13" t="str">
        <x:v>https://docs.nexhealth.com/reference/patchappointmentsid</x:v>
      </x:c>
      <x:c r="D62" s="16" t="n">
        <x:v>46299</x:v>
      </x:c>
      <x:c r="E62" s="13" t="str">
        <x:v>Primary-source search extraction inspected; full live-page/API behavior not separately verified</x:v>
      </x:c>
      <x:c r="F62" s="13" t="str">
        <x:v>Documented capability or policy; no execution proof</x:v>
      </x:c>
    </x:row>
    <x:row r="63" ht="77" customHeight="1">
      <x:c r="A63" s="8" t="str">
        <x:v>HEALTH5</x:v>
      </x:c>
      <x:c r="B63" s="8" t="str">
        <x:v>Open Dental API Appointments, version-added annotations: https://www.opendental.com/site/apiappointments.html</x:v>
      </x:c>
      <x:c r="C63" s="8" t="str">
        <x:v>https://www.opendental.com/site/apiappointments.html</x:v>
      </x:c>
      <x:c r="D63" s="17" t="n">
        <x:v>46299</x:v>
      </x:c>
      <x:c r="E63" s="8" t="str">
        <x:v>Primary-source search extraction inspected; full live-page/API behavior not separately verified</x:v>
      </x:c>
      <x:c r="F63" s="8" t="str">
        <x:v>Documented capability or policy; no execution proof</x:v>
      </x:c>
    </x:row>
    <x:row r="64" ht="77" customHeight="1">
      <x:c r="A64" s="13" t="str">
        <x:v>HEALTH6</x:v>
      </x:c>
      <x:c r="B64" s="13" t="str">
        <x:v>Open Dental API implementation: https://www.opendental.com/site/apiimplementation.html</x:v>
      </x:c>
      <x:c r="C64" s="13" t="str">
        <x:v>https://www.opendental.com/site/apiimplementation.html</x:v>
      </x:c>
      <x:c r="D64" s="16" t="n">
        <x:v>46299</x:v>
      </x:c>
      <x:c r="E64" s="13" t="str">
        <x:v>Primary-source search extraction inspected; full live-page/API behavior not separately verified</x:v>
      </x:c>
      <x:c r="F64" s="13" t="str">
        <x:v>Documented capability or policy; no execution proof</x:v>
      </x:c>
    </x:row>
    <x:row r="65" ht="77" customHeight="1">
      <x:c r="A65" s="8" t="str">
        <x:v>HEALTH7</x:v>
      </x:c>
      <x:c r="B65" s="8" t="str">
        <x:v>DrChrono 11.0 API current reference/provider OAuth: https://app.drchrono.com/api-docs/v3?application=454</x:v>
      </x:c>
      <x:c r="C65" s="8" t="str">
        <x:v>https://app.drchrono.com/api-docs/v3?application=454</x:v>
      </x:c>
      <x:c r="D65" s="17" t="n">
        <x:v>46299</x:v>
      </x:c>
      <x:c r="E65" s="8" t="str">
        <x:v>Primary-source search extraction inspected; full live-page/API behavior not separately verified</x:v>
      </x:c>
      <x:c r="F65" s="8" t="str">
        <x:v>Documented capability or policy; no execution proof</x:v>
      </x:c>
    </x:row>
    <x:row r="66" ht="77" customHeight="1">
      <x:c r="A66" s="13" t="str">
        <x:v>GOOG1</x:v>
      </x:c>
      <x:c r="B66" s="13" t="str">
        <x:v>Actions Center Local Services E2E overview, updated 2026-04-01: https://developers.google.com/actions-center/verticals/local-services/e2e/integration-steps/overview</x:v>
      </x:c>
      <x:c r="C66" s="13" t="str">
        <x:v>https://developers.google.com/actions-center/verticals/local-services/e2e/integration-steps/overview</x:v>
      </x:c>
      <x:c r="D66" s="16" t="n">
        <x:v>46299</x:v>
      </x:c>
      <x:c r="E66" s="13" t="str">
        <x:v>Public primary page opened with full web extraction available; relevant contents inspected; no API call</x:v>
      </x:c>
      <x:c r="F66" s="13" t="str">
        <x:v>Documented capability or policy; no execution proof</x:v>
      </x:c>
    </x:row>
    <x:row r="67" ht="77" customHeight="1">
      <x:c r="A67" s="8" t="str">
        <x:v>GOOG2</x:v>
      </x:c>
      <x:c r="B67" s="8" t="str">
        <x:v>Local Services real-time updates: https://developers.google.com/actions-center/verticals/local-services/e2e/integration-steps/real-time-api-updates</x:v>
      </x:c>
      <x:c r="C67" s="8" t="str">
        <x:v>https://developers.google.com/actions-center/verticals/local-services/e2e/integration-steps/real-time-api-updates</x:v>
      </x:c>
      <x:c r="D67" s="17" t="n">
        <x:v>46299</x:v>
      </x:c>
      <x:c r="E67" s="8" t="str">
        <x:v>Public primary page opened with full web extraction available; relevant contents inspected; no API call</x:v>
      </x:c>
      <x:c r="F67" s="8" t="str">
        <x:v>Documented capability or policy; no execution proof</x:v>
      </x:c>
    </x:row>
    <x:row r="68" ht="77" customHeight="1">
      <x:c r="A68" s="13" t="str">
        <x:v>GOOG3</x:v>
      </x:c>
      <x:c r="B68" s="13" t="str">
        <x:v>Local Services booking server/idempotency: https://developers.google.com/actions-center/verticals/local-services/e2e/integration-steps/implement-booking-server?hl=en</x:v>
      </x:c>
      <x:c r="C68" s="13" t="str">
        <x:v>https://developers.google.com/actions-center/verticals/local-services/e2e/integration-steps/implement-booking-server?hl=en</x:v>
      </x:c>
      <x:c r="D68" s="16" t="n">
        <x:v>46299</x:v>
      </x:c>
      <x:c r="E68" s="13" t="str">
        <x:v>Public primary page opened with full web extraction available; relevant contents inspected; no API call</x:v>
      </x:c>
      <x:c r="F68" s="13" t="str">
        <x:v>Documented capability or policy; no execution proof</x:v>
      </x:c>
    </x:row>
    <x:row r="69" ht="77" customHeight="1">
      <x:c r="A69" s="8" t="str">
        <x:v>GOOG4</x:v>
      </x:c>
      <x:c r="B69" s="8" t="str">
        <x:v>Restaurant reservation booking specification, reference-model only: https://developers.google.com/actions-center/reference/grpc-api-v2/booking-specification</x:v>
      </x:c>
      <x:c r="C69" s="8" t="str">
        <x:v>https://developers.google.com/actions-center/reference/grpc-api-v2/booking-specification</x:v>
      </x:c>
      <x:c r="D69" s="17" t="n">
        <x:v>46299</x:v>
      </x:c>
      <x:c r="E69" s="8" t="str">
        <x:v>Primary-source search extraction inspected; full live-page/API behavior not separately verified</x:v>
      </x:c>
      <x:c r="F69" s="8" t="str">
        <x:v>Documented capability or policy; no execution proof</x:v>
      </x:c>
    </x:row>
    <x:row r="70" ht="77" customHeight="1">
      <x:c r="A70" s="13" t="str">
        <x:v>SEC1</x:v>
      </x:c>
      <x:c r="B70" s="13" t="str">
        <x:v>MCP security best practices, version path 2026-07-28: https://modelcontextprotocol.io/docs/2026-07-28/tutorials/security/security_best_practices</x:v>
      </x:c>
      <x:c r="C70" s="13" t="str">
        <x:v>https://modelcontextprotocol.io/docs/2026-07-28/tutorials/security/security_best_practices</x:v>
      </x:c>
      <x:c r="D70" s="16" t="n">
        <x:v>46299</x:v>
      </x:c>
      <x:c r="E70" s="13" t="str">
        <x:v>Public primary page opened with full web extraction available; relevant contents inspected; no API call</x:v>
      </x:c>
      <x:c r="F70" s="13" t="str">
        <x:v>Documented capability or policy; no execution proof</x:v>
      </x:c>
    </x:row>
    <x:row r="71" ht="77" customHeight="1">
      <x:c r="A71" s="8" t="str">
        <x:v>SEC2</x:v>
      </x:c>
      <x:c r="B71" s="8" t="str">
        <x:v>HHS business-associate guidance, current accessed version: https://www.hhs.gov/hipaa/for-professionals/privacy/guidance/business-associates/index.html</x:v>
      </x:c>
      <x:c r="C71" s="8" t="str">
        <x:v>https://www.hhs.gov/hipaa/for-professionals/privacy/guidance/business-associates/index.html</x:v>
      </x:c>
      <x:c r="D71" s="17" t="n">
        <x:v>46299</x:v>
      </x:c>
      <x:c r="E71" s="8" t="str">
        <x:v>Primary-source search extraction inspected; full live-page/API behavior not separately verified</x:v>
      </x:c>
      <x:c r="F71" s="8" t="str">
        <x:v>Documented capability or policy; no execution proof</x:v>
      </x:c>
    </x:row>
    <x:row r="72" ht="77" customHeight="1">
      <x:c r="A72" s="13" t="str">
        <x:v>SEC3</x:v>
      </x:c>
      <x:c r="B72" s="13" t="str">
        <x:v>HHS software-vendor relationship guidance: https://www.hhs.gov/hipaa/for-professionals/faq/is-software-vendor-business-associate/index.html</x:v>
      </x:c>
      <x:c r="C72" s="13" t="str">
        <x:v>https://www.hhs.gov/hipaa/for-professionals/faq/is-software-vendor-business-associate/index.html</x:v>
      </x:c>
      <x:c r="D72" s="16" t="n">
        <x:v>46299</x:v>
      </x:c>
      <x:c r="E72" s="13" t="str">
        <x:v>Primary-source search extraction inspected; full live-page/API behavior not separately verified</x:v>
      </x:c>
      <x:c r="F72" s="13" t="str">
        <x:v>Documented capability or policy; no execution proof</x:v>
      </x:c>
    </x:row>
    <x:row r="73" ht="77" customHeight="1">
      <x:c r="A73" s="8" t="str">
        <x:v>SEC4</x:v>
      </x:c>
      <x:c r="B73" s="8" t="str">
        <x:v>PCI SSC outsourced payment-processing FAQ: https://www.pcisecuritystandards.org/faqs/does-pci-dss-apply-to-merchants-who-outsource-all-payment-processing-operations-and-never-store-process-or-transmit-cardholder-data/</x:v>
      </x:c>
      <x:c r="C73" s="8" t="str">
        <x:v>https://www.pcisecuritystandards.org/faqs/does-pci-dss-apply-to-merchants-who-outsource-all-payment-processing-operations-and-never-store-process-or-transmit-cardholder-data/</x:v>
      </x:c>
      <x:c r="D73" s="17" t="n">
        <x:v>46299</x:v>
      </x:c>
      <x:c r="E73" s="8" t="str">
        <x:v>Primary-source search extraction inspected; full live-page/API behavior not separately verified</x:v>
      </x:c>
      <x:c r="F73" s="8" t="str">
        <x:v>Documented capability or policy; no execution proof</x:v>
      </x:c>
    </x:row>
    <x:row r="74" ht="77" customHeight="1">
      <x:c r="A74" s="13" t="str">
        <x:v>MB6</x:v>
      </x:c>
      <x:c r="B74" s="13" t="str">
        <x:v>Mindbody pricing FAQ: USD, Site ID all-location billing, no current scaled/bulk pricing; undated</x:v>
      </x:c>
      <x:c r="C74" s="13" t="str">
        <x:v>https://developers.mindbodyonline.com/ui/faq</x:v>
      </x:c>
      <x:c r="D74" s="16" t="n">
        <x:v>46299</x:v>
      </x:c>
      <x:c r="E74" s="13" t="str">
        <x:v>Public primary page rendered and read in cloud browser; no API call</x:v>
      </x:c>
      <x:c r="F74" s="13" t="str">
        <x:v>Documented capability or policy; no execution proof</x:v>
      </x:c>
    </x:row>
    <x:row r="75" ht="77" customHeight="1">
      <x:c r="A75" s="8" t="str">
        <x:v>PET6</x:v>
      </x:c>
      <x:c r="B75" s="8" t="str">
        <x:v>MoeGo Inc Github organization verified to control moego.pet; links moegoapis repo</x:v>
      </x:c>
      <x:c r="C75" s="8" t="str">
        <x:v>https://github.com/MoeGolibrary</x:v>
      </x:c>
      <x:c r="D75" s="17" t="n">
        <x:v>46299</x:v>
      </x:c>
      <x:c r="E75" s="8" t="str">
        <x:v>Public primary page opened with full web extraction available; relevant contents inspected; no API call</x:v>
      </x:c>
      <x:c r="F75" s="8" t="str">
        <x:v>Documented capability or policy; no execution proof</x:v>
      </x:c>
    </x:row>
    <x:row r="76" ht="77" customHeight="1">
      <x:c r="A76" s="13" t="str">
        <x:v>C1</x:v>
      </x:c>
      <x:c r="B76" s="13" t="str">
        <x:v>MaidThis Boston service menu</x:v>
      </x:c>
      <x:c r="C76" s="13" t="str">
        <x:v>https://maidthis.com/boston/house-cleaning-services/</x:v>
      </x:c>
      <x:c r="D76" s="16" t="n">
        <x:v>46299</x:v>
      </x:c>
      <x:c r="E76" s="13" t="str">
        <x:v>Primary provider/platform/government or methodological source</x:v>
      </x:c>
      <x:c r="F76" s="13" t="str">
        <x:v>published prices by cadence/home size; website links a Launch27 customer account</x:v>
      </x:c>
    </x:row>
    <x:row r="77" ht="77" customHeight="1">
      <x:c r="A77" s="8" t="str">
        <x:v>C2</x:v>
      </x:c>
      <x:c r="B77" s="8" t="str">
        <x:v>Molly Maid recurring cleaning</x:v>
      </x:c>
      <x:c r="C77" s="8" t="str">
        <x:v>https://www.mollymaid.com/our-services/regular-cleaning-service/</x:v>
      </x:c>
      <x:c r="D77" s="17" t="n">
        <x:v>46299</x:v>
      </x:c>
      <x:c r="E77" s="8" t="str">
        <x:v>Primary provider/platform/government or methodological source</x:v>
      </x:c>
      <x:c r="F77" s="8" t="str">
        <x:v>offered recurring schedules and in-home estimate rationale</x:v>
      </x:c>
    </x:row>
    <x:row r="78" ht="77" customHeight="1">
      <x:c r="A78" s="13" t="str">
        <x:v>C3</x:v>
      </x:c>
      <x:c r="B78" s="13" t="str">
        <x:v>Launch27 features</x:v>
      </x:c>
      <x:c r="C78" s="13" t="str">
        <x:v>https://www.launch27.com/software-features/</x:v>
      </x:c>
      <x:c r="D78" s="16" t="n">
        <x:v>46299</x:v>
      </x:c>
      <x:c r="E78" s="13" t="str">
        <x:v>Primary provider/platform/government or methodological source</x:v>
      </x:c>
      <x:c r="F78" s="13" t="str">
        <x:v>availability, price configuration, recurrence, API and self-service claims</x:v>
      </x:c>
    </x:row>
    <x:row r="79" ht="77" customHeight="1">
      <x:c r="A79" s="8" t="str">
        <x:v>C4</x:v>
      </x:c>
      <x:c r="B79" s="8" t="str">
        <x:v>HCP Online Booking Overview</x:v>
      </x:c>
      <x:c r="C79" s="8" t="str">
        <x:v>https://help.housecallpro.com/en/articles/7034474-online-booking-overview</x:v>
      </x:c>
      <x:c r="D79" s="17" t="n">
        <x:v>46299</x:v>
      </x:c>
      <x:c r="E79" s="8" t="str">
        <x:v>Primary provider/platform/government or methodological source</x:v>
      </x:c>
      <x:c r="F79" s="8" t="str">
        <x:v>price forms, staff, service area and payment configuration</x:v>
      </x:c>
    </x:row>
    <x:row r="80" ht="77" customHeight="1">
      <x:c r="A80" s="13" t="str">
        <x:v>C5</x:v>
      </x:c>
      <x:c r="B80" s="13" t="str">
        <x:v>Jobber Online Booking</x:v>
      </x:c>
      <x:c r="C80" s="13" t="str">
        <x:v>https://help.getjobber.com/en/articles/online-booking/</x:v>
      </x:c>
      <x:c r="D80" s="16" t="n">
        <x:v>46299</x:v>
      </x:c>
      <x:c r="E80" s="13" t="str">
        <x:v>Primary provider/platform/government or methodological source</x:v>
      </x:c>
      <x:c r="F80" s="13" t="str">
        <x:v>assessment vs job booking, drive-time and service area constraints</x:v>
      </x:c>
    </x:row>
    <x:row r="81" ht="77" customHeight="1">
      <x:c r="A81" s="8" t="str">
        <x:v>C6</x:v>
      </x:c>
      <x:c r="B81" s="8" t="str">
        <x:v>HCP AI booking and dispatch</x:v>
      </x:c>
      <x:c r="C81" s="8" t="str">
        <x:v>https://www.housecallpro.com/resources/ai-booking-dispatch-home-services/</x:v>
      </x:c>
      <x:c r="D81" s="17" t="n">
        <x:v>46299</x:v>
      </x:c>
      <x:c r="E81" s="8" t="str">
        <x:v>Primary provider/platform/government or methodological source</x:v>
      </x:c>
      <x:c r="F81" s="8" t="str">
        <x:v>first-party description of CSR AI and online booking</x:v>
      </x:c>
    </x:row>
    <x:row r="82" ht="77" customHeight="1">
      <x:c r="A82" s="13" t="str">
        <x:v>C7</x:v>
      </x:c>
      <x:c r="B82" s="13" t="str">
        <x:v>Jobber Receptionist existing-client update</x:v>
      </x:c>
      <x:c r="C82" s="13" t="str">
        <x:v>https://productupdates.getjobber.com/121638-receptionist-now-does-more-to-assist-your-existing-clients</x:v>
      </x:c>
      <x:c r="D82" s="16" t="n">
        <x:v>46299</x:v>
      </x:c>
      <x:c r="E82" s="13" t="str">
        <x:v>Primary provider/platform/government or methodological source</x:v>
      </x:c>
      <x:c r="F82" s="13" t="str">
        <x:v>visit-change self-service capabilities</x:v>
      </x:c>
    </x:row>
    <x:row r="83" ht="77" customHeight="1">
      <x:c r="A83" s="8" t="str">
        <x:v>B1</x:v>
      </x:c>
      <x:c r="B83" s="8" t="str">
        <x:v>Boston Barber Beacon Hill</x:v>
      </x:c>
      <x:c r="C83" s="8" t="str">
        <x:v>https://www.bostonbarber.com/beacon-hill/</x:v>
      </x:c>
      <x:c r="D83" s="17" t="n">
        <x:v>46299</x:v>
      </x:c>
      <x:c r="E83" s="8" t="str">
        <x:v>Primary provider/platform/government or methodological source</x:v>
      </x:c>
      <x:c r="F83" s="8" t="str">
        <x:v>service menu and Square booking links</x:v>
      </x:c>
    </x:row>
    <x:row r="84" ht="77" customHeight="1">
      <x:c r="A84" s="13" t="str">
        <x:v>B3</x:v>
      </x:c>
      <x:c r="B84" s="13" t="str">
        <x:v>Square API requirements</x:v>
      </x:c>
      <x:c r="C84" s="13" t="str">
        <x:v>https://developer.squareup.com/docs/bookings-api/get-ready-to-use-the-api</x:v>
      </x:c>
      <x:c r="D84" s="16" t="n">
        <x:v>46299</x:v>
      </x:c>
      <x:c r="E84" s="13" t="str">
        <x:v>Primary provider/platform/government or methodological source</x:v>
      </x:c>
      <x:c r="F84" s="13" t="str">
        <x:v>nonzero cancellation-fee booking creation is unsupported</x:v>
      </x:c>
    </x:row>
    <x:row r="85" ht="77" customHeight="1">
      <x:c r="A85" s="8" t="str">
        <x:v>B2</x:v>
      </x:c>
      <x:c r="B85" s="8" t="str">
        <x:v>Square Bookings API</x:v>
      </x:c>
      <x:c r="C85" s="8" t="str">
        <x:v>https://developer.squareup.com/docs/bookings-api/what-it-is</x:v>
      </x:c>
      <x:c r="D85" s="17" t="n">
        <x:v>46299</x:v>
      </x:c>
      <x:c r="E85" s="8" t="str">
        <x:v>Primary provider/platform/government or methodological source</x:v>
      </x:c>
      <x:c r="F85" s="8" t="str">
        <x:v>availability/lifecycle, buyer/seller permissions and plan limitations</x:v>
      </x:c>
    </x:row>
    <x:row r="86" ht="77" customHeight="1">
      <x:c r="A86" s="13" t="str">
        <x:v>L1</x:v>
      </x:c>
      <x:c r="B86" s="13" t="str">
        <x:v>LOD Boston</x:v>
      </x:c>
      <x:c r="C86" s="13" t="str">
        <x:v>https://www.lodaundry.com/</x:v>
      </x:c>
      <x:c r="D86" s="16" t="n">
        <x:v>46299</x:v>
      </x:c>
      <x:c r="E86" s="13" t="str">
        <x:v>Primary provider/platform/government or methodological source</x:v>
      </x:c>
      <x:c r="F86" s="13" t="str">
        <x:v>per-bag menu and app-only delivery proposition; no order placed</x:v>
      </x:c>
    </x:row>
    <x:row r="87" ht="77" customHeight="1">
      <x:c r="A87" s="8" t="str">
        <x:v>L2</x:v>
      </x:c>
      <x:c r="B87" s="8" t="str">
        <x:v>Cents pickup and delivery</x:v>
      </x:c>
      <x:c r="C87" s="8" t="str">
        <x:v>https://www.trycents.com/solutions/pickup-delivery-software</x:v>
      </x:c>
      <x:c r="D87" s="17" t="n">
        <x:v>46299</x:v>
      </x:c>
      <x:c r="E87" s="8" t="str">
        <x:v>Primary provider/platform/government or methodological source</x:v>
      </x:c>
      <x:c r="F87" s="8" t="str">
        <x:v>route, zone, modifier and recurring-order product claims</x:v>
      </x:c>
    </x:row>
    <x:row r="88" ht="77" customHeight="1">
      <x:c r="A88" s="13" t="str">
        <x:v>G1</x:v>
      </x:c>
      <x:c r="B88" s="13" t="str">
        <x:v>Coqui grooming prices</x:v>
      </x:c>
      <x:c r="C88" s="13" t="str">
        <x:v>https://www.ohanapetboston.com/pricing/dog/grooming</x:v>
      </x:c>
      <x:c r="D88" s="16" t="n">
        <x:v>46299</x:v>
      </x:c>
      <x:c r="E88" s="13" t="str">
        <x:v>Primary provider/platform/government or methodological source</x:v>
      </x:c>
      <x:c r="F88" s="13" t="str">
        <x:v>size-based services and condition-dependent extras</x:v>
      </x:c>
    </x:row>
    <x:row r="89" ht="77" customHeight="1">
      <x:c r="A89" s="8" t="str">
        <x:v>G2</x:v>
      </x:c>
      <x:c r="B89" s="8" t="str">
        <x:v>PetSmart grooming FAQ</x:v>
      </x:c>
      <x:c r="C89" s="8" t="str">
        <x:v>https://services.petsmart.com/content/grooming-faq</x:v>
      </x:c>
      <x:c r="D89" s="17" t="n">
        <x:v>46299</x:v>
      </x:c>
      <x:c r="E89" s="8" t="str">
        <x:v>Primary provider/platform/government or methodological source</x:v>
      </x:c>
      <x:c r="F89" s="8" t="str">
        <x:v>indexed primary FAQ describes estimated pricing and account/eligibility requirements; full-page fetch failed, so this is less robust than an inspected live checkout</x:v>
      </x:c>
    </x:row>
    <x:row r="90" ht="77" customHeight="1">
      <x:c r="A90" s="13" t="str">
        <x:v>G3</x:v>
      </x:c>
      <x:c r="B90" s="13" t="str">
        <x:v>PetSmart appointment page</x:v>
      </x:c>
      <x:c r="C90" s="13" t="str">
        <x:v>https://services.petsmart.com/grooming/appointment</x:v>
      </x:c>
      <x:c r="D90" s="16" t="n">
        <x:v>46299</x:v>
      </x:c>
      <x:c r="E90" s="13" t="str">
        <x:v>Primary provider/platform/government or methodological source</x:v>
      </x:c>
      <x:c r="F90" s="13" t="str">
        <x:v>published four-to-six-week recommendation includes at-home care</x:v>
      </x:c>
    </x:row>
    <x:row r="91" ht="77" customHeight="1">
      <x:c r="A91" s="8" t="str">
        <x:v>N1</x:v>
      </x:c>
      <x:c r="B91" s="8" t="str">
        <x:v>Lawn Love Boston</x:v>
      </x:c>
      <x:c r="C91" s="8" t="str">
        <x:v>https://lawnlove.com/massachusetts/boston-lawn-care</x:v>
      </x:c>
      <x:c r="D91" s="17" t="n">
        <x:v>46299</x:v>
      </x:c>
      <x:c r="E91" s="8" t="str">
        <x:v>Primary provider/platform/government or methodological source</x:v>
      </x:c>
      <x:c r="F91" s="8" t="str">
        <x:v>seller-published local average, quote path and digital service proposition; sample methodology not disclosed</x:v>
      </x:c>
    </x:row>
    <x:row r="92" ht="77" customHeight="1">
      <x:c r="A92" s="13" t="str">
        <x:v>N2</x:v>
      </x:c>
      <x:c r="B92" s="13" t="str">
        <x:v>Lawn Love frequency help</x:v>
      </x:c>
      <x:c r="C92" s="13" t="str">
        <x:v>https://support.lawnlove.com/hc/en-us/articles/24340146782098--Customer-How-to-Change-the-Service-Frequency</x:v>
      </x:c>
      <x:c r="D92" s="16" t="n">
        <x:v>46299</x:v>
      </x:c>
      <x:c r="E92" s="13" t="str">
        <x:v>Primary provider/platform/government or methodological source</x:v>
      </x:c>
      <x:c r="F92" s="13" t="str">
        <x:v>explicit cadence and seasonal rules</x:v>
      </x:c>
    </x:row>
    <x:row r="93" ht="77" customHeight="1">
      <x:c r="A93" s="8" t="str">
        <x:v>A1</x:v>
      </x:c>
      <x:c r="B93" s="8" t="str">
        <x:v>Massachusetts vehicle inspections</x:v>
      </x:c>
      <x:c r="C93" s="8" t="str">
        <x:v>https://www.mass.gov/info-details/vehicle-inspections</x:v>
      </x:c>
      <x:c r="D93" s="17" t="n">
        <x:v>46299</x:v>
      </x:c>
      <x:c r="E93" s="8" t="str">
        <x:v>Primary provider/platform/government or methodological source</x:v>
      </x:c>
      <x:c r="F93" s="8" t="str">
        <x:v>annual requirement and $35 fee for most vehicles</x:v>
      </x:c>
    </x:row>
    <x:row r="94" ht="77" customHeight="1">
      <x:c r="A94" s="13" t="str">
        <x:v>H1</x:v>
      </x:c>
      <x:c r="B94" s="13" t="str">
        <x:v>Comfort Professor tune-up</x:v>
      </x:c>
      <x:c r="C94" s="13" t="str">
        <x:v>https://comfortprofessor.com/services/hvac/tune-up/</x:v>
      </x:c>
      <x:c r="D94" s="16" t="n">
        <x:v>46299</x:v>
      </x:c>
      <x:c r="E94" s="13" t="str">
        <x:v>Primary provider/platform/government or methodological source</x:v>
      </x:c>
      <x:c r="F94" s="13" t="str">
        <x:v>dated promotional offer and restrictions; expired $59 September offer intentionally excluded</x:v>
      </x:c>
    </x:row>
    <x:row r="95" ht="77" customHeight="1">
      <x:c r="A95" s="8" t="str">
        <x:v>H2</x:v>
      </x:c>
      <x:c r="B95" s="8" t="str">
        <x:v>ENERGY STAR maintenance checklist</x:v>
      </x:c>
      <x:c r="C95" s="8" t="str">
        <x:v>https://www.energystar.gov/saveathome/heating-cooling/maintenance-checklist</x:v>
      </x:c>
      <x:c r="D95" s="17" t="n">
        <x:v>46299</x:v>
      </x:c>
      <x:c r="E95" s="8" t="str">
        <x:v>Primary provider/platform/government or methodological source</x:v>
      </x:c>
      <x:c r="F95" s="8" t="str">
        <x:v>recommended maintenance timing and scope</x:v>
      </x:c>
    </x:row>
    <x:row r="96" ht="77" customHeight="1">
      <x:c r="A96" s="13" t="str">
        <x:v>F1</x:v>
      </x:c>
      <x:c r="B96" s="13" t="str">
        <x:v>Luxe Leisure pricing</x:v>
      </x:c>
      <x:c r="C96" s="13" t="str">
        <x:v>https://www.luxeleisurestudio.com/new-page</x:v>
      </x:c>
      <x:c r="D96" s="16" t="n">
        <x:v>46299</x:v>
      </x:c>
      <x:c r="E96" s="13" t="str">
        <x:v>Primary provider/platform/government or methodological source</x:v>
      </x:c>
      <x:c r="F96" s="13" t="str">
        <x:v>South Boston class menu</x:v>
      </x:c>
    </x:row>
    <x:row r="97" ht="77" customHeight="1">
      <x:c r="A97" s="8" t="str">
        <x:v>F2</x:v>
      </x:c>
      <x:c r="B97" s="8" t="str">
        <x:v>Mindbody Developer Portal</x:v>
      </x:c>
      <x:c r="C97" s="8" t="str">
        <x:v>https://developers.mindbodyonline.com/</x:v>
      </x:c>
      <x:c r="D97" s="17" t="n">
        <x:v>46299</x:v>
      </x:c>
      <x:c r="E97" s="8" t="str">
        <x:v>Primary provider/platform/government or methodological source</x:v>
      </x:c>
      <x:c r="F97" s="8" t="str">
        <x:v>public API prices; fee schedule subsequently verified in the primary portal and pricing FAQ [MB1, MB6]; initial text-only fetch had returned empty content</x:v>
      </x:c>
    </x:row>
    <x:row r="98" ht="77" customHeight="1">
      <x:c r="A98" s="13" t="str">
        <x:v>F3</x:v>
      </x:c>
      <x:c r="B98" s="13" t="str">
        <x:v>Mindbody integrations</x:v>
      </x:c>
      <x:c r="C98" s="13" t="str">
        <x:v>https://integrations.mindbodyonline.com/</x:v>
      </x:c>
      <x:c r="D98" s="16" t="n">
        <x:v>46299</x:v>
      </x:c>
      <x:c r="E98" s="13" t="str">
        <x:v>Primary provider/platform/government or methodological source</x:v>
      </x:c>
      <x:c r="F98" s="13" t="str">
        <x:v>existing integration marketplace and ClassPass presence; marketing performance claims not adopted here</x:v>
      </x:c>
    </x:row>
    <x:row r="99" ht="77" customHeight="1">
      <x:c r="A99" s="8" t="str">
        <x:v>P1</x:v>
      </x:c>
      <x:c r="B99" s="8" t="str">
        <x:v>Truly Gone plans</x:v>
      </x:c>
      <x:c r="C99" s="8" t="str">
        <x:v>https://www.trulygone.com/pricing-and-plans/</x:v>
      </x:c>
      <x:c r="D99" s="17" t="n">
        <x:v>46299</x:v>
      </x:c>
      <x:c r="E99" s="8" t="str">
        <x:v>Primary provider/platform/government or methodological source</x:v>
      </x:c>
      <x:c r="F99" s="8" t="str">
        <x:v>Greater Boston published starting prices and exclusions</x:v>
      </x:c>
    </x:row>
    <x:row r="100" ht="77" customHeight="1">
      <x:c r="A100" s="13" t="str">
        <x:v>P2</x:v>
      </x:c>
      <x:c r="B100" s="13" t="str">
        <x:v>Terminix pest control</x:v>
      </x:c>
      <x:c r="C100" s="13" t="str">
        <x:v>https://www.terminix.com/pest-control/</x:v>
      </x:c>
      <x:c r="D100" s="16" t="n">
        <x:v>46299</x:v>
      </x:c>
      <x:c r="E100" s="13" t="str">
        <x:v>Primary provider/platform/government or methodological source</x:v>
      </x:c>
      <x:c r="F100" s="13" t="str">
        <x:v>stated customer-plan cadence and geography dependence</x:v>
      </x:c>
    </x:row>
    <x:row r="101" ht="77" customHeight="1">
      <x:c r="A101" s="8" t="str">
        <x:v>R1</x:v>
      </x:c>
      <x:c r="B101" s="8" t="str">
        <x:v>Taskrabbit Boston assembly</x:v>
      </x:c>
      <x:c r="C101" s="8" t="str">
        <x:v>https://www.taskrabbit.com/locations/boston/assemble-furniture</x:v>
      </x:c>
      <x:c r="D101" s="17" t="n">
        <x:v>46299</x:v>
      </x:c>
      <x:c r="E101" s="8" t="str">
        <x:v>Primary provider/platform/government or methodological source</x:v>
      </x:c>
      <x:c r="F101" s="8" t="str">
        <x:v>platform-published hourly average, no completed-job ticket distribution</x:v>
      </x:c>
    </x:row>
    <x:row r="102" ht="77" customHeight="1">
      <x:c r="A102" s="13" t="str">
        <x:v>R2</x:v>
      </x:c>
      <x:c r="B102" s="13" t="str">
        <x:v>Taskrabbit service fee</x:v>
      </x:c>
      <x:c r="C102" s="13" t="str">
        <x:v>https://support.taskrabbit.com/hc/en-us/articles/46260411872155-What-s-the-Taskrabbit-Service-Fee</x:v>
      </x:c>
      <x:c r="D102" s="16" t="n">
        <x:v>46299</x:v>
      </x:c>
      <x:c r="E102" s="13" t="str">
        <x:v>Primary provider/platform/government or methodological source</x:v>
      </x:c>
      <x:c r="F102" s="13" t="str">
        <x:v>hourly service fee and possible tax</x:v>
      </x:c>
    </x:row>
    <x:row r="103" ht="77" customHeight="1">
      <x:c r="A103" s="8" t="str">
        <x:v>R3</x:v>
      </x:c>
      <x:c r="B103" s="8" t="str">
        <x:v>Taskrabbit IKEA task-based pricing</x:v>
      </x:c>
      <x:c r="C103" s="8" t="str">
        <x:v>https://support.taskrabbit.com/hc/en-us/articles/46260422960923-Task-Based-Pricing-Model-for-Clients-at-IKEA-Stores-and-Online</x:v>
      </x:c>
      <x:c r="D103" s="17" t="n">
        <x:v>46299</x:v>
      </x:c>
      <x:c r="E103" s="8" t="str">
        <x:v>Primary provider/platform/government or methodological source</x:v>
      </x:c>
      <x:c r="F103" s="8" t="str">
        <x:v>item/complexity pricing and possible manual matching failures</x:v>
      </x:c>
    </x:row>
    <x:row r="104" ht="77" customHeight="1">
      <x:c r="A104" s="13" t="str">
        <x:v>BLS</x:v>
      </x:c>
      <x:c r="B104" s="13" t="str">
        <x:v>BLS Consumer Expenditures 2024</x:v>
      </x:c>
      <x:c r="C104" s="13" t="str">
        <x:v>https://www.bls.gov/opub/reports/consumer-expenditures/2024/home.htm</x:v>
      </x:c>
      <x:c r="D104" s="16" t="n">
        <x:v>46299</x:v>
      </x:c>
      <x:c r="E104" s="13" t="str">
        <x:v>Primary provider/platform/government or methodological source</x:v>
      </x:c>
      <x:c r="F104" s="13" t="str">
        <x:v>population spending context only, intentionally not converted into bookings</x:v>
      </x:c>
    </x:row>
    <x:row r="105" ht="77" customHeight="1">
      <x:c r="A105" s="8" t="str">
        <x:v>METHODS</x:v>
      </x:c>
      <x:c r="B105" s="8" t="str">
        <x:v>AAPOR nonprobability inference caution</x:v>
      </x:c>
      <x:c r="C105" s="8" t="str">
        <x:v>https://aapor.org/statements/understanding-a-credibility-interval-and-how-it-differs-from-the-margin-of-sampling-error-in-a-public-opinion-poll/</x:v>
      </x:c>
      <x:c r="D105" s="17" t="n">
        <x:v>46299</x:v>
      </x:c>
      <x:c r="E105" s="8" t="str">
        <x:v>Primary provider/platform/government or methodological source</x:v>
      </x:c>
      <x:c r="F105" s="8" t="str">
        <x:v>methodological limitation</x:v>
      </x:c>
    </x:row>
    <x:row r="106" ht="77" customHeight="1">
      <x:c r="A106" s="13" t="str">
        <x:v>LIVE-C1-Entry</x:v>
      </x:c>
      <x:c r="B106" s="13" t="str">
        <x:v>Maid Sailors: entry page</x:v>
      </x:c>
      <x:c r="C106" s="13" t="str">
        <x:v>https://maidsailors.com/boston/</x:v>
      </x:c>
      <x:c r="D106" s="16" t="n">
        <x:v>46299</x:v>
      </x:c>
      <x:c r="E106" s="13" t="str">
        <x:v>Observed in research cloud browser</x:v>
      </x:c>
      <x:c r="F106" s="13" t="str">
        <x:v>Core public-path observation; no commitment</x:v>
      </x:c>
    </x:row>
    <x:row r="107" ht="77" customHeight="1">
      <x:c r="A107" s="8" t="str">
        <x:v>LIVE-C1-Booking</x:v>
      </x:c>
      <x:c r="B107" s="8" t="str">
        <x:v>Maid Sailors: booking page</x:v>
      </x:c>
      <x:c r="C107" s="8" t="str">
        <x:v>https://maidsailors.com/book-now/</x:v>
      </x:c>
      <x:c r="D107" s="17" t="n">
        <x:v>46299</x:v>
      </x:c>
      <x:c r="E107" s="8" t="str">
        <x:v>Observed in research cloud browser</x:v>
      </x:c>
      <x:c r="F107" s="8" t="str">
        <x:v>Core public-path observation; no commitment</x:v>
      </x:c>
    </x:row>
    <x:row r="108" ht="77" customHeight="1">
      <x:c r="A108" s="13" t="str">
        <x:v>LIVE-C2-Entry</x:v>
      </x:c>
      <x:c r="B108" s="13" t="str">
        <x:v>MaidPro Boston - Downtown: entry page</x:v>
      </x:c>
      <x:c r="C108" s="13" t="str">
        <x:v>https://maidpro.com/boston-maidpro</x:v>
      </x:c>
      <x:c r="D108" s="16" t="n">
        <x:v>46299</x:v>
      </x:c>
      <x:c r="E108" s="13" t="str">
        <x:v>Observed in research cloud browser</x:v>
      </x:c>
      <x:c r="F108" s="13" t="str">
        <x:v>Core public-path observation; no commitment</x:v>
      </x:c>
    </x:row>
    <x:row r="109" ht="77" customHeight="1">
      <x:c r="A109" s="8" t="str">
        <x:v>LIVE-C2-Booking</x:v>
      </x:c>
      <x:c r="B109" s="8" t="str">
        <x:v>MaidPro Boston - Downtown: booking page</x:v>
      </x:c>
      <x:c r="C109" s="8" t="str">
        <x:v>https://maidpro.com/boston-maidpro/estimate</x:v>
      </x:c>
      <x:c r="D109" s="17" t="n">
        <x:v>46299</x:v>
      </x:c>
      <x:c r="E109" s="8" t="str">
        <x:v>Observed in research cloud browser</x:v>
      </x:c>
      <x:c r="F109" s="8" t="str">
        <x:v>Core public-path observation; no commitment</x:v>
      </x:c>
    </x:row>
    <x:row r="110" ht="77" customHeight="1">
      <x:c r="A110" s="13" t="str">
        <x:v>LIVE-C3-Entry</x:v>
      </x:c>
      <x:c r="B110" s="13" t="str">
        <x:v>Unmess: entry page</x:v>
      </x:c>
      <x:c r="C110" s="13" t="str">
        <x:v>https://getunmess.com/</x:v>
      </x:c>
      <x:c r="D110" s="16" t="n">
        <x:v>46299</x:v>
      </x:c>
      <x:c r="E110" s="13" t="str">
        <x:v>Observed in research cloud browser</x:v>
      </x:c>
      <x:c r="F110" s="13" t="str">
        <x:v>Core public-path observation; no commitment</x:v>
      </x:c>
    </x:row>
    <x:row r="111" ht="77" customHeight="1">
      <x:c r="A111" s="8" t="str">
        <x:v>LIVE-C3-Booking</x:v>
      </x:c>
      <x:c r="B111" s="8" t="str">
        <x:v>Unmess: booking page</x:v>
      </x:c>
      <x:c r="C111" s="8" t="str">
        <x:v>https://getunmess.bookingkoala.com/booknow/home_cleaning?service_id=6&amp;frequency_id=1&amp;coupon=NEWUNMESS&amp;pricing_parameter%5B1%5D=66&amp;utm_source=direct&amp;utm_medium=(none)</x:v>
      </x:c>
      <x:c r="D111" s="17" t="n">
        <x:v>46299</x:v>
      </x:c>
      <x:c r="E111" s="8" t="str">
        <x:v>Observed in research cloud browser</x:v>
      </x:c>
      <x:c r="F111" s="8" t="str">
        <x:v>Core public-path observation; no commitment</x:v>
      </x:c>
    </x:row>
    <x:row r="112" ht="77" customHeight="1">
      <x:c r="A112" s="13" t="str">
        <x:v>LIVE-A1-Entry</x:v>
      </x:c>
      <x:c r="B112" s="13" t="str">
        <x:v>Firestone Complete Auto Care Boston: entry page</x:v>
      </x:c>
      <x:c r="C112" s="13" t="str">
        <x:v>https://www.firestonecompleteautocare.com/massachusetts/boston/972-commonwealth-avenue/</x:v>
      </x:c>
      <x:c r="D112" s="16" t="n">
        <x:v>46299</x:v>
      </x:c>
      <x:c r="E112" s="13" t="str">
        <x:v>Observed in research cloud browser</x:v>
      </x:c>
      <x:c r="F112" s="13" t="str">
        <x:v>Core public-path observation; no commitment</x:v>
      </x:c>
    </x:row>
    <x:row r="113" ht="77" customHeight="1">
      <x:c r="A113" s="8" t="str">
        <x:v>LIVE-A1-Booking</x:v>
      </x:c>
      <x:c r="B113" s="8" t="str">
        <x:v>Firestone Complete Auto Care Boston: booking page</x:v>
      </x:c>
      <x:c r="C113" s="8" t="str">
        <x:v>https://www.firestonecompleteautocare.com/massachusetts/boston/972-commonwealth-avenue/</x:v>
      </x:c>
      <x:c r="D113" s="17" t="n">
        <x:v>46299</x:v>
      </x:c>
      <x:c r="E113" s="8" t="str">
        <x:v>Observed in research cloud browser</x:v>
      </x:c>
      <x:c r="F113" s="8" t="str">
        <x:v>Core public-path observation; no commitment</x:v>
      </x:c>
    </x:row>
    <x:row r="114" ht="77" customHeight="1">
      <x:c r="A114" s="13" t="str">
        <x:v>LIVE-A2-Entry</x:v>
      </x:c>
      <x:c r="B114" s="13" t="str">
        <x:v>Jiffy Lube Dorchester: entry page</x:v>
      </x:c>
      <x:c r="C114" s="13" t="str">
        <x:v>https://www.jiffylube.com/locations/ma/dorchester/1632</x:v>
      </x:c>
      <x:c r="D114" s="16" t="n">
        <x:v>46299</x:v>
      </x:c>
      <x:c r="E114" s="13" t="str">
        <x:v>Observed in research cloud browser</x:v>
      </x:c>
      <x:c r="F114" s="13" t="str">
        <x:v>Core public-path observation; no commitment</x:v>
      </x:c>
    </x:row>
    <x:row r="115" ht="77" customHeight="1">
      <x:c r="A115" s="8" t="str">
        <x:v>LIVE-A2-Booking</x:v>
      </x:c>
      <x:c r="B115" s="8" t="str">
        <x:v>Jiffy Lube Dorchester: booking page</x:v>
      </x:c>
      <x:c r="C115" s="8" t="str">
        <x:v>https://www.jiffylube.com/locations/ma/dorchester/1632</x:v>
      </x:c>
      <x:c r="D115" s="17" t="n">
        <x:v>46299</x:v>
      </x:c>
      <x:c r="E115" s="8" t="str">
        <x:v>Observed in research cloud browser</x:v>
      </x:c>
      <x:c r="F115" s="8" t="str">
        <x:v>Core public-path observation; no commitment</x:v>
      </x:c>
    </x:row>
    <x:row r="116" ht="77" customHeight="1">
      <x:c r="A116" s="13" t="str">
        <x:v>LIVE-A3-Entry</x:v>
      </x:c>
      <x:c r="B116" s="13" t="str">
        <x:v>Parkway Toyota of Boston: entry page</x:v>
      </x:c>
      <x:c r="C116" s="13" t="str">
        <x:v>https://www.parkwaytoyotaboston.com/service/schedule-service/</x:v>
      </x:c>
      <x:c r="D116" s="16" t="n">
        <x:v>46299</x:v>
      </x:c>
      <x:c r="E116" s="13" t="str">
        <x:v>Observed in research cloud browser</x:v>
      </x:c>
      <x:c r="F116" s="13" t="str">
        <x:v>Core public-path observation; no commitment</x:v>
      </x:c>
    </x:row>
    <x:row r="117" ht="77" customHeight="1">
      <x:c r="A117" s="8" t="str">
        <x:v>LIVE-A3-Booking</x:v>
      </x:c>
      <x:c r="B117" s="8" t="str">
        <x:v>Parkway Toyota of Boston: booking page</x:v>
      </x:c>
      <x:c r="C117" s="8" t="str">
        <x:v>https://www.parkwaytoyotaboston.com/service/schedule-service/</x:v>
      </x:c>
      <x:c r="D117" s="17" t="n">
        <x:v>46299</x:v>
      </x:c>
      <x:c r="E117" s="8" t="str">
        <x:v>Observed in research cloud browser</x:v>
      </x:c>
      <x:c r="F117" s="8" t="str">
        <x:v>Core public-path observation; no commitment</x:v>
      </x:c>
    </x:row>
    <x:row r="118" ht="77" customHeight="1">
      <x:c r="A118" s="13" t="str">
        <x:v>LIVE-beauty_01-Entry</x:v>
      </x:c>
      <x:c r="B118" s="13" t="str">
        <x:v>LoGrasso's Barbershop: entry page</x:v>
      </x:c>
      <x:c r="C118" s="13" t="str">
        <x:v>https://lograssobarbershop.com/</x:v>
      </x:c>
      <x:c r="D118" s="16" t="n">
        <x:v>46299</x:v>
      </x:c>
      <x:c r="E118" s="13" t="str">
        <x:v>Observed in research cloud browser</x:v>
      </x:c>
      <x:c r="F118" s="13" t="str">
        <x:v>Core public-path observation; no commitment</x:v>
      </x:c>
    </x:row>
    <x:row r="119" ht="77" customHeight="1">
      <x:c r="A119" s="8" t="str">
        <x:v>LIVE-beauty_01-Booking</x:v>
      </x:c>
      <x:c r="B119" s="8" t="str">
        <x:v>LoGrasso's Barbershop: booking page</x:v>
      </x:c>
      <x:c r="C119" s="8" t="str">
        <x:v>https://booksy.com/en-us/705791_lograssos-barbershop_barber-shop_22412_boston</x:v>
      </x:c>
      <x:c r="D119" s="17" t="n">
        <x:v>46299</x:v>
      </x:c>
      <x:c r="E119" s="8" t="str">
        <x:v>Observed in research cloud browser</x:v>
      </x:c>
      <x:c r="F119" s="8" t="str">
        <x:v>Core public-path observation; no commitment</x:v>
      </x:c>
    </x:row>
    <x:row r="120" ht="77" customHeight="1">
      <x:c r="A120" s="13" t="str">
        <x:v>LIVE-beauty_02-Entry</x:v>
      </x:c>
      <x:c r="B120" s="13" t="str">
        <x:v>Mr Suazo's Barbershop - Malden: entry page</x:v>
      </x:c>
      <x:c r="C120" s="13" t="str">
        <x:v>https://mrsuazosbarbershop.com/</x:v>
      </x:c>
      <x:c r="D120" s="16" t="n">
        <x:v>46299</x:v>
      </x:c>
      <x:c r="E120" s="13" t="str">
        <x:v>Observed in research cloud browser</x:v>
      </x:c>
      <x:c r="F120" s="13" t="str">
        <x:v>Core public-path observation; no commitment</x:v>
      </x:c>
    </x:row>
    <x:row r="121" ht="77" customHeight="1">
      <x:c r="A121" s="8" t="str">
        <x:v>LIVE-beauty_02-Booking</x:v>
      </x:c>
      <x:c r="B121" s="8" t="str">
        <x:v>Mr Suazo's Barbershop - Malden: booking page</x:v>
      </x:c>
      <x:c r="C121" s="8" t="str">
        <x:v>https://getsquire.com/booking/brands/mr-suazos-barbershop</x:v>
      </x:c>
      <x:c r="D121" s="17" t="n">
        <x:v>46299</x:v>
      </x:c>
      <x:c r="E121" s="8" t="str">
        <x:v>Observed in research cloud browser</x:v>
      </x:c>
      <x:c r="F121" s="8" t="str">
        <x:v>Core public-path observation; no commitment</x:v>
      </x:c>
    </x:row>
    <x:row r="122" ht="77" customHeight="1">
      <x:c r="A122" s="13" t="str">
        <x:v>LIVE-beauty_03-Entry</x:v>
      </x:c>
      <x:c r="B122" s="13" t="str">
        <x:v>Barbershop Deluxe: entry page</x:v>
      </x:c>
      <x:c r="C122" s="13" t="str">
        <x:v>https://square.site/book/CNPZ1GBSHRYTH/barbershop-deluxe-boston-ma</x:v>
      </x:c>
      <x:c r="D122" s="16" t="n">
        <x:v>46299</x:v>
      </x:c>
      <x:c r="E122" s="13" t="str">
        <x:v>Observed in research cloud browser</x:v>
      </x:c>
      <x:c r="F122" s="13" t="str">
        <x:v>Core public-path observation; no commitment</x:v>
      </x:c>
    </x:row>
    <x:row r="123" ht="77" customHeight="1">
      <x:c r="A123" s="8" t="str">
        <x:v>LIVE-beauty_03-Booking</x:v>
      </x:c>
      <x:c r="B123" s="8" t="str">
        <x:v>Barbershop Deluxe: booking page</x:v>
      </x:c>
      <x:c r="C123" s="8" t="str">
        <x:v>https://book.squareup.com/appointments/i7lh3lz7nwocq7/location/CNPZ1GBSHRYTH/availability</x:v>
      </x:c>
      <x:c r="D123" s="17" t="n">
        <x:v>46299</x:v>
      </x:c>
      <x:c r="E123" s="8" t="str">
        <x:v>Observed in research cloud browser</x:v>
      </x:c>
      <x:c r="F123" s="8" t="str">
        <x:v>Core public-path observation; no commitment</x:v>
      </x:c>
    </x:row>
    <x:row r="124" ht="77" customHeight="1">
      <x:c r="A124" s="13" t="str">
        <x:v>LIVE-extra_MBL_removed-Entry</x:v>
      </x:c>
      <x:c r="B124" s="13" t="str">
        <x:v>MBL Broad Street / Yordy SQUIRE discovery listing: entry page</x:v>
      </x:c>
      <x:c r="C124" s="13" t="str">
        <x:v>https://getsquire.com/discover/barbershop/mbl-broad-street-boston/barber/yordy-5</x:v>
      </x:c>
      <x:c r="D124" s="16" t="n">
        <x:v>46299</x:v>
      </x:c>
      <x:c r="E124" s="13" t="str">
        <x:v>Observed in research cloud browser</x:v>
      </x:c>
      <x:c r="F124" s="13" t="str">
        <x:v>Extra observation; excluded from core denominator</x:v>
      </x:c>
    </x:row>
    <x:row r="125" ht="77" customHeight="1">
      <x:c r="A125" s="8" t="str">
        <x:v>LIVE-pet_01-Entry</x:v>
      </x:c>
      <x:c r="B125" s="8" t="str">
        <x:v>Petco Brighton: entry page</x:v>
      </x:c>
      <x:c r="C125" s="8" t="str">
        <x:v>https://stores.petco.com/ma/brighton/full-service-grooming-brighton-ma-288.html</x:v>
      </x:c>
      <x:c r="D125" s="17" t="n">
        <x:v>46299</x:v>
      </x:c>
      <x:c r="E125" s="8" t="str">
        <x:v>Observed in research cloud browser</x:v>
      </x:c>
      <x:c r="F125" s="8" t="str">
        <x:v>Core public-path observation; no commitment</x:v>
      </x:c>
    </x:row>
    <x:row r="126" ht="77" customHeight="1">
      <x:c r="A126" s="13" t="str">
        <x:v>LIVE-pet_01-Booking</x:v>
      </x:c>
      <x:c r="B126" s="13" t="str">
        <x:v>Petco Brighton: booking page</x:v>
      </x:c>
      <x:c r="C126" s="13" t="str">
        <x:v>https://www.petco.com/shop/PetcoServicesBookGrooming?catalogId=10051&amp;storeId=10151&amp;langId=-1&amp;store_number=288</x:v>
      </x:c>
      <x:c r="D126" s="16" t="n">
        <x:v>46299</x:v>
      </x:c>
      <x:c r="E126" s="13" t="str">
        <x:v>Observed in research cloud browser</x:v>
      </x:c>
      <x:c r="F126" s="13" t="str">
        <x:v>Core public-path observation; no commitment</x:v>
      </x:c>
    </x:row>
    <x:row r="127" ht="77" customHeight="1">
      <x:c r="A127" s="8" t="str">
        <x:v>LIVE-pet_02-Entry</x:v>
      </x:c>
      <x:c r="B127" s="8" t="str">
        <x:v>PetSmart Cambridge: entry page</x:v>
      </x:c>
      <x:c r="C127" s="8" t="str">
        <x:v>https://stores.petsmart.com/ma/cambridge/cambridge/grooming</x:v>
      </x:c>
      <x:c r="D127" s="17" t="n">
        <x:v>46299</x:v>
      </x:c>
      <x:c r="E127" s="8" t="str">
        <x:v>Observed in research cloud browser</x:v>
      </x:c>
      <x:c r="F127" s="8" t="str">
        <x:v>Core public-path observation; no commitment</x:v>
      </x:c>
    </x:row>
    <x:row r="128" ht="77" customHeight="1">
      <x:c r="A128" s="13" t="str">
        <x:v>LIVE-pet_02-Booking</x:v>
      </x:c>
      <x:c r="B128" s="13" t="str">
        <x:v>PetSmart Cambridge: booking page</x:v>
      </x:c>
      <x:c r="C128" s="13" t="str">
        <x:v>https://services.petsmart.com/grooming/booking</x:v>
      </x:c>
      <x:c r="D128" s="16" t="n">
        <x:v>46299</x:v>
      </x:c>
      <x:c r="E128" s="13" t="str">
        <x:v>Observed in research cloud browser</x:v>
      </x:c>
      <x:c r="F128" s="13" t="str">
        <x:v>Core public-path observation; no commitment</x:v>
      </x:c>
    </x:row>
    <x:row r="129" ht="77" customHeight="1">
      <x:c r="A129" s="8" t="str">
        <x:v>LIVE-pet_03-Entry</x:v>
      </x:c>
      <x:c r="B129" s="8" t="str">
        <x:v>Onyva Boston: entry page</x:v>
      </x:c>
      <x:c r="C129" s="8" t="str">
        <x:v>https://boston.onyvadogspa.com/</x:v>
      </x:c>
      <x:c r="D129" s="17" t="n">
        <x:v>46299</x:v>
      </x:c>
      <x:c r="E129" s="8" t="str">
        <x:v>Observed in research cloud browser</x:v>
      </x:c>
      <x:c r="F129" s="8" t="str">
        <x:v>Core public-path observation; no commitment</x:v>
      </x:c>
    </x:row>
    <x:row r="130" ht="77" customHeight="1">
      <x:c r="A130" s="13" t="str">
        <x:v>LIVE-pet_03-Booking</x:v>
      </x:c>
      <x:c r="B130" s="13" t="str">
        <x:v>Onyva Boston: booking page</x:v>
      </x:c>
      <x:c r="C130" s="13" t="str">
        <x:v>https://boston.onyvadogspa.com/</x:v>
      </x:c>
      <x:c r="D130" s="16" t="n">
        <x:v>46299</x:v>
      </x:c>
      <x:c r="E130" s="13" t="str">
        <x:v>Observed in research cloud browser</x:v>
      </x:c>
      <x:c r="F130" s="13" t="str">
        <x:v>Core public-path observation; no commitment</x:v>
      </x:c>
    </x:row>
    <x:row r="131" ht="77" customHeight="1">
      <x:c r="A131" s="8" t="str">
        <x:v>LIVE-F1-Entry</x:v>
      </x:c>
      <x:c r="B131" s="8" t="str">
        <x:v>YMCA Huntington Avenue: entry page</x:v>
      </x:c>
      <x:c r="C131" s="8" t="str">
        <x:v>https://ymcaboston.org/huntington/</x:v>
      </x:c>
      <x:c r="D131" s="17" t="n">
        <x:v>46299</x:v>
      </x:c>
      <x:c r="E131" s="8" t="str">
        <x:v>Observed in research cloud browser</x:v>
      </x:c>
      <x:c r="F131" s="8" t="str">
        <x:v>Core public-path observation; no commitment</x:v>
      </x:c>
    </x:row>
    <x:row r="132" ht="77" customHeight="1">
      <x:c r="A132" s="13" t="str">
        <x:v>LIVE-F1-Booking</x:v>
      </x:c>
      <x:c r="B132" s="13" t="str">
        <x:v>YMCA Huntington Avenue: booking page</x:v>
      </x:c>
      <x:c r="C132" s="13" t="str">
        <x:v>https://ymcaboston.org/healthy-living/fitness-classes/#schedules</x:v>
      </x:c>
      <x:c r="D132" s="16" t="n">
        <x:v>46299</x:v>
      </x:c>
      <x:c r="E132" s="13" t="str">
        <x:v>Observed in research cloud browser</x:v>
      </x:c>
      <x:c r="F132" s="13" t="str">
        <x:v>Core public-path observation; no commitment</x:v>
      </x:c>
    </x:row>
    <x:row r="133" ht="77" customHeight="1">
      <x:c r="A133" s="8" t="str">
        <x:v>LIVE-F2-Entry</x:v>
      </x:c>
      <x:c r="B133" s="8" t="str">
        <x:v>Orangetheory Boston Back Bay: entry page</x:v>
      </x:c>
      <x:c r="C133" s="8" t="str">
        <x:v>https://www.orangetheory.com/en-us/locations/boston-massachusetts-0285?2d235898_page=1</x:v>
      </x:c>
      <x:c r="D133" s="17" t="n">
        <x:v>46299</x:v>
      </x:c>
      <x:c r="E133" s="8" t="str">
        <x:v>Observed in research cloud browser</x:v>
      </x:c>
      <x:c r="F133" s="8" t="str">
        <x:v>Core public-path observation; no commitment</x:v>
      </x:c>
    </x:row>
    <x:row r="134" ht="77" customHeight="1">
      <x:c r="A134" s="13" t="str">
        <x:v>LIVE-F2-Booking</x:v>
      </x:c>
      <x:c r="B134" s="13" t="str">
        <x:v>Orangetheory Boston Back Bay: booking page</x:v>
      </x:c>
      <x:c r="C134" s="13" t="str">
        <x:v>https://www.orangetheory.com/en-us/book-a-class-1?location_id=d5aec246-accd-4726-bdcb-afd2d2c5bc96&amp;2d235898_page=1&amp;step=1</x:v>
      </x:c>
      <x:c r="D134" s="16" t="n">
        <x:v>46299</x:v>
      </x:c>
      <x:c r="E134" s="13" t="str">
        <x:v>Observed in research cloud browser</x:v>
      </x:c>
      <x:c r="F134" s="13" t="str">
        <x:v>Core public-path observation; no commitment</x:v>
      </x:c>
    </x:row>
    <x:row r="135" ht="77" customHeight="1">
      <x:c r="A135" s="8" t="str">
        <x:v>LIVE-F3-Entry</x:v>
      </x:c>
      <x:c r="B135" s="8" t="str">
        <x:v>Boston Yoga Union Back Bay: entry page</x:v>
      </x:c>
      <x:c r="C135" s="8" t="str">
        <x:v>https://bostonyogaunion.com/back-bay-yoga</x:v>
      </x:c>
      <x:c r="D135" s="17" t="n">
        <x:v>46299</x:v>
      </x:c>
      <x:c r="E135" s="8" t="str">
        <x:v>Observed in research cloud browser</x:v>
      </x:c>
      <x:c r="F135" s="8" t="str">
        <x:v>Core public-path observation; no commitment</x:v>
      </x:c>
    </x:row>
    <x:row r="136" ht="77" customHeight="1">
      <x:c r="A136" s="13" t="str">
        <x:v>LIVE-F3-Booking</x:v>
      </x:c>
      <x:c r="B136" s="13" t="str">
        <x:v>Boston Yoga Union Back Bay: booking page</x:v>
      </x:c>
      <x:c r="C136" s="13" t="str">
        <x:v>https://bostonyogaunion.com/back-bay-yoga</x:v>
      </x:c>
      <x:c r="D136" s="16" t="n">
        <x:v>46299</x:v>
      </x:c>
      <x:c r="E136" s="13" t="str">
        <x:v>Observed in research cloud browser</x:v>
      </x:c>
      <x:c r="F136" s="13" t="str">
        <x:v>Core public-path observation; no commitment</x:v>
      </x:c>
    </x:row>
    <x:row r="137" ht="77" customHeight="1">
      <x:c r="A137" s="8" t="str">
        <x:v>HIST</x:v>
      </x:c>
      <x:c r="B137" s="8" t="str">
        <x:v>Anonymized accessible-conversation audit</x:v>
      </x:c>
      <x:c r="C137" s="8" t="str">
        <x:v>Private source; no public URL</x:v>
      </x:c>
      <x:c r="D137" s="17" t="n">
        <x:v>46299</x:v>
      </x:c>
      <x:c r="E137" s="8" t="str">
        <x:v>Primary private conversation, aggregate only</x:v>
      </x:c>
      <x:c r="F137" s="8" t="str">
        <x:v>One user, partial retrieval; raw personal content excluded</x:v>
      </x:c>
    </x:row>
  </x:sheetData>
  <x:pageMargins left="0.7" right="0.7" top="0.75" bottom="0.75" header="0.3" footer="0.3"/>
  <x:tableParts count="1">
    <x:tablePart xmlns:r="http://schemas.openxmlformats.org/officeDocument/2006/relationships" r:id="R876be0cde8314e25"/>
  </x:tableParts>
</x:worksheet>
</file>

<file path=xl/worksheets/sheet12.xml><?xml version="1.0" encoding="utf-8"?>
<x:worksheet xmlns:x="http://schemas.openxmlformats.org/spreadsheetml/2006/main">
  <x:sheetPr>
    <x:tabColor rgb="FF909CA8"/>
  </x:sheetPr>
  <x:sheetViews>
    <x:sheetView showGridLines="0" workbookViewId="0">
      <x:pane ySplit="5" topLeftCell="A6" activePane="bottomLeft" state="frozen"/>
    </x:sheetView>
  </x:sheetViews>
  <x:sheetFormatPr defaultRowHeight="15"/>
  <x:cols>
    <x:col min="1" max="1" width="24" hidden="0" customWidth="1"/>
    <x:col min="2" max="2" width="49" hidden="0" customWidth="1"/>
    <x:col min="3" max="3" width="130" hidden="0" customWidth="1"/>
  </x:cols>
  <x:sheetData>
    <x:row r="1">
      <x:c r="A1" s="1"/>
      <x:c r="B1" s="1"/>
      <x:c r="C1" s="1"/>
    </x:row>
    <x:row r="2" ht="26" customHeight="1">
      <x:c r="A2" s="3" t="str">
        <x:v>Context, metric definitions and methodology</x:v>
      </x:c>
      <x:c r="B2" s="4"/>
      <x:c r="C2" s="4"/>
    </x:row>
    <x:row r="3">
      <x:c r="A3" s="6" t="str">
        <x:v>Full interpretation, scoring rubrics, limitations, proposed validation and refresh method are retained here.</x:v>
      </x:c>
      <x:c r="B3" s="1"/>
      <x:c r="C3" s="1"/>
    </x:row>
    <x:row r="4">
      <x:c r="A4" s="1"/>
      <x:c r="B4" s="1"/>
      <x:c r="C4" s="1"/>
    </x:row>
    <x:row r="5" ht="42" customHeight="1">
      <x:c r="A5" s="12" t="str">
        <x:v>Evidence stream</x:v>
      </x:c>
      <x:c r="B5" s="12" t="str">
        <x:v>Section</x:v>
      </x:c>
      <x:c r="C5" s="12" t="str">
        <x:v>Context / definition</x:v>
      </x:c>
    </x:row>
    <x:row r="6" ht="64" customHeight="1">
      <x:c r="A6" s="13" t="str">
        <x:v>Study method</x:v>
      </x:c>
      <x:c r="B6" s="13" t="str">
        <x:v>Research question and decision context</x:v>
      </x:c>
      <x:c r="C6" s="13" t="str">
        <x:v>The decision is whether to build an MCP-style booking rail that lets personal agents book services through providers' field-service or scheduling systems instead of using phone calls. A useful first segment needs repeated demand, sufficiently structured scope and price, attainable supply integrations, and a failure pattern that software can remove without taking on unbounded service operations.</x:v>
      </x:c>
    </x:row>
    <x:row r="7" ht="77" customHeight="1">
      <x:c r="A7" s="8" t="str">
        <x:v>Study method</x:v>
      </x:c>
      <x:c r="B7" s="8" t="str">
        <x:v>Research question and decision context</x:v>
      </x:c>
      <x:c r="C7" s="8" t="str">
        <x:v>The commissioned brief has two parts. First, extract actual booking requests from the assistant's retained task history, rank categories by demand and report completion, phone and abandonment outcomes. Second, attempt three public booking paths in each of the five highest-demand categories in one metro and record their friction. The brief also calls for category scores, supply software, missing rails and the assistant's operating constraints. The report preserves these questions while separating answers the evidence supports from the questions that remain open.</x:v>
      </x:c>
    </x:row>
    <x:row r="8" ht="64" customHeight="1">
      <x:c r="A8" s="13" t="str">
        <x:v>Study method</x:v>
      </x:c>
      <x:c r="B8" s="13" t="str">
        <x:v>Research question and decision context</x:v>
      </x:c>
      <x:c r="C8" s="13" t="str">
        <x:v>No buyer, revenue model or launch category was specified by the user. Segment recommendations, proposed validation thresholds and product design in this report are analytical proposals. Boston was selected as a convenient local market given the user's current context. It was not selected by a representative sampling procedure and is not a user-mandated market. This investigation is separate from any acquisition or rollup thesis.</x:v>
      </x:c>
    </x:row>
    <x:row r="9" ht="38" customHeight="1">
      <x:c r="A9" s="8" t="str">
        <x:v>Study method</x:v>
      </x:c>
      <x:c r="B9" s="8" t="str">
        <x:v>Four evidence labels</x:v>
      </x:c>
      <x:c r="C9" s="8" t="str">
        <x:v>Measured means a count or observation from the defined accessible history or dated public-path inspection. It describes only that sample.</x:v>
      </x:c>
    </x:row>
    <x:row r="10" ht="38" customHeight="1">
      <x:c r="A10" s="13" t="str">
        <x:v>Study method</x:v>
      </x:c>
      <x:c r="B10" s="13" t="str">
        <x:v>Four evidence labels</x:v>
      </x:c>
      <x:c r="C10" s="13" t="str">
        <x:v>Documented means a claim supported by a named first-party provider or platform source. It does not mean an authenticated integration was exercised.</x:v>
      </x:c>
    </x:row>
    <x:row r="11" ht="38" customHeight="1">
      <x:c r="A11" s="8" t="str">
        <x:v>Study method</x:v>
      </x:c>
      <x:c r="B11" s="8" t="str">
        <x:v>Four evidence labels</x:v>
      </x:c>
      <x:c r="C11" s="8" t="str">
        <x:v>Analyst judgment means a hypothesis, 1 to 5 score, ranking or recommendation derived from the available evidence. It is not a measured market statistic.</x:v>
      </x:c>
    </x:row>
    <x:row r="12" ht="38" customHeight="1">
      <x:c r="A12" s="13" t="str">
        <x:v>Study method</x:v>
      </x:c>
      <x:c r="B12" s="13" t="str">
        <x:v>Four evidence labels</x:v>
      </x:c>
      <x:c r="C12" s="13" t="str">
        <x:v>Unavailable means the required evidence or denominator is absent. A missing value is not zero, a negative finding or a failed transaction.</x:v>
      </x:c>
    </x:row>
    <x:row r="13" ht="51" customHeight="1">
      <x:c r="A13" s="8" t="str">
        <x:v>Study method</x:v>
      </x:c>
      <x:c r="B13" s="8" t="str">
        <x:v>Four evidence labels</x:v>
      </x:c>
      <x:c r="C13" s="8" t="str">
        <x:v>The history, live-path inspections, vendor documentation and analyst assessment are separate evidence streams. They are not pooled into one conversion rate. Agreement among analyses using the same sources is not independent replication across agent companies. No external agent teams were contacted, and no aggregate platform telemetry was available.</x:v>
      </x:c>
    </x:row>
    <x:row r="14" ht="103" customHeight="1">
      <x:c r="A14" s="13" t="str">
        <x:v>Study method</x:v>
      </x:c>
      <x:c r="B14" s="13" t="str">
        <x:v>Historical coverage and unit of analysis</x:v>
      </x:c>
      <x:c r="C14" s="13" t="str">
        <x:v>The requested window was the prior 90 days, beginning 6 July 2026 at approximately 20:20 UTC, or as far back as retained history permitted. The accessible conversation ran from 30 September 2026 at 05:58:51 UTC through 4 October 2026 at 20:20:07 UTC. The retrieval contained 103 records: 37 user records and 66 assistant records. One unrelated user record containing sensitive identity text was excluded before analysis. The analyzed extract therefore contains 102 records: 36 user and 66 assistant records, including two assistant records with null text. The excluded record was not a booking-execution request. It represents one user in one accessible conversation. Retrieval windows were marked partial, so the completeness of even this short interval is unverified and the count of omitted messages is unknown.</x:v>
      </x:c>
    </x:row>
    <x:row r="15" ht="64" customHeight="1">
      <x:c r="A15" s="8" t="str">
        <x:v>Study method</x:v>
      </x:c>
      <x:c r="B15" s="8" t="str">
        <x:v>Historical coverage and unit of analysis</x:v>
      </x:c>
      <x:c r="C15" s="8" t="str">
        <x:v>A strict booking-execution request is an explicit instruction to create a reservation, appointment, time-slot commitment or scheduled meeting. Recommendations, availability searches, appointment-route discovery, walk-in advice, calendar cleanup and notifications of bookings made elsewhere are excluded from that count. An episode is one user objective, with related follow-ups deduplicated. The research request itself is not consumer booking demand.</x:v>
      </x:c>
    </x:row>
    <x:row r="16" ht="77" customHeight="1">
      <x:c r="A16" s="13" t="str">
        <x:v>Study method</x:v>
      </x:c>
      <x:c r="B16" s="13" t="str">
        <x:v>Historical coverage and unit of analysis</x:v>
      </x:c>
      <x:c r="C16" s="13" t="str">
        <x:v>The audit found zero explicit booking-execution requests and zero assistant-confirmed provider bookings in the visible sample. It found three adjacent episodes: calendar-state cleanup, appointment-access guidance and adviser-route discovery. These adjacent episodes demonstrate workflow issues but provide no valid denominator for booking completion, phone necessity, abandonment, ticket size, recurring household demand or category popularity. The report does not interpret the zero observed requests as zero demand in the wider population.</x:v>
      </x:c>
    </x:row>
    <x:row r="17" ht="51" customHeight="1">
      <x:c r="A17" s="8" t="str">
        <x:v>Study method</x:v>
      </x:c>
      <x:c r="B17" s="8" t="str">
        <x:v>Historical coverage and unit of analysis</x:v>
      </x:c>
      <x:c r="C17" s="8" t="str">
        <x:v>Only anonymized summaries needed for the research are reproduced. Raw personal conversation, identity-document details and unrelated personal records are excluded. The audit can be revisited with broader authorized evidence, but current gaps cannot be filled from inference.</x:v>
      </x:c>
    </x:row>
    <x:row r="18" ht="64" customHeight="1">
      <x:c r="A18" s="13" t="str">
        <x:v>Study method</x:v>
      </x:c>
      <x:c r="B18" s="13" t="str">
        <x:v>Live inspection design and departures from the brief</x:v>
      </x:c>
      <x:c r="C18" s="13" t="str">
        <x:v>Because there is no measured top-five demand ranking, the five tested categories are purposive research hypotheses: home cleaning, routine auto service, beauty and barber appointments, pet grooming, and fitness. Three provider targets per category were planned in Boston or the nearby metro. The selected providers are a convenience sample of discoverable public paths. They are not a census, a random sample or a market-share-weighted selection.</x:v>
      </x:c>
    </x:row>
    <x:row r="19" ht="90" customHeight="1">
      <x:c r="A19" s="8" t="str">
        <x:v>Study method</x:v>
      </x:c>
      <x:c r="B19" s="8" t="str">
        <x:v>Live inspection design and departures from the brief</x:v>
      </x:c>
      <x:c r="C19" s="8" t="str">
        <x:v>The inspections used public websites and booking widgets in the research cloud browser. They stopped before entering personal customer data, submitting a lead or quote request, accepting a commitment, deliberately creating a reservation or inventory hold, making a payment, or calling a provider. They therefore establish how far a public anonymous path can be inspected, rather than actual end-to-end completion or a provider's response to a genuine customer's request. Where permissions or the research browser prevented inspection, the result is labeled as a research-environment limitation.</x:v>
      </x:c>
    </x:row>
    <x:row r="20" ht="90" customHeight="1">
      <x:c r="A20" s="13" t="str">
        <x:v>Study method</x:v>
      </x:c>
      <x:c r="B20" s="13" t="str">
        <x:v>Live inspection design and departures from the brief</x:v>
      </x:c>
      <x:c r="C20" s="13" t="str">
        <x:v>The planned protocol was to inspect each target's service selection, price disclosure, availability, customer-data gate and commitment boundary where reachable. Exact UTC start and stop times were recorded during inspection. Elapsed time runs from the first provider load to the observed stop state. It includes navigation, tool execution, review delays and any permitted retry. It excludes neither research overhead nor censored waiting, and it is not time to book, human customer effort or production-agent latency. Category medians are descriptive medians of those observation windows only.</x:v>
      </x:c>
    </x:row>
    <x:row r="21" ht="77" customHeight="1">
      <x:c r="A21" s="8" t="str">
        <x:v>Study method</x:v>
      </x:c>
      <x:c r="B21" s="8" t="str">
        <x:v>Live inspection design and departures from the brief</x:v>
      </x:c>
      <x:c r="C21" s="8" t="str">
        <x:v>The original four requested outcome labels are too narrow for a noncommitting inspection. This report adds stopped before commitment, lead or quote form reached but not submitted, availability inspected, research environment blocked, and provider path unavailable. Confirmed requires a provider-side reservation identifier or equivalent authoritative evidence. Quote pending requires an actually submitted quote request. Abandoned requires an explicit user decision to abandon because of friction. None of those states can be inferred from a public probe ending.</x:v>
      </x:c>
    </x:row>
    <x:row r="22" ht="64" customHeight="1">
      <x:c r="A22" s="13" t="str">
        <x:v>Study method</x:v>
      </x:c>
      <x:c r="B22" s="13" t="str">
        <x:v>Failure attribution and counterfactual limits</x:v>
      </x:c>
      <x:c r="C22" s="13" t="str">
        <x:v>A provider-side choke point is a visible provider workflow requirement, such as an estimate before price, required intake, membership eligibility or account login. A research-environment block is a tooling, permission or execution failure before the provider path can be inspected. An unknown cause remains unknown. A page failing to load in one environment is not enough to conclude that the provider has no booking system or that a phone call is necessary.</x:v>
      </x:c>
    </x:row>
    <x:row r="23" ht="90" customHeight="1">
      <x:c r="A23" s="8" t="str">
        <x:v>Study method</x:v>
      </x:c>
      <x:c r="B23" s="8" t="str">
        <x:v>Failure attribution and counterfactual limits</x:v>
      </x:c>
      <x:c r="C23" s="8" t="str">
        <x:v>The per-attempt statement of what an API might remove is a bounded counterfactual. An authorized endpoint could remove repeated navigation, copying fields, or checking state in a graphical interface when equivalent data and operations exist. It does not automatically resolve unspecified job scope, inaccurate inventory, unavailable staff, provider refusal, eligibility, terms, customer authentication, payment approval or provider reliability. A published API can coexist with a difficult consumer interface. A public interface can be simple while third-party API access remains commercially gated.</x:v>
      </x:c>
    </x:row>
    <x:row r="24" ht="77" customHeight="1">
      <x:c r="A24" s="13" t="str">
        <x:v>Study method</x:v>
      </x:c>
      <x:c r="B24" s="13" t="str">
        <x:v>Source verification</x:v>
      </x:c>
      <x:c r="C24" s="13" t="str">
        <x:v>Official vendor documentation and provider pages are used for capability and policy claims. The source register identifies the URL, access date and what each source supports. Public documentation was read, but vendor credentials, paid plans, production merchant authorization and partner approvals were not provisioned. Endpoint descriptions establish documented capability; they do not establish access for this proposed company, commercial permission to aggregate supply, full field coverage or successful production performance.</x:v>
      </x:c>
    </x:row>
    <x:row r="25" ht="64" customHeight="1">
      <x:c r="A25" s="8" t="str">
        <x:v>Study method</x:v>
      </x:c>
      <x:c r="B25" s="8" t="str">
        <x:v>Source verification</x:v>
      </x:c>
      <x:c r="C25" s="8" t="str">
        <x:v>Prices shown on selected provider pages are local examples with the original service context, not category-wide typical tickets. Plan restrictions and APIs can change. Before committing engineering resources, request written confirmation of access, allowed use, customer ownership, payment responsibilities and required commercial terms from each target platform.</x:v>
      </x:c>
    </x:row>
    <x:row r="26" ht="103" customHeight="1">
      <x:c r="A26" s="13" t="str">
        <x:v>Study method</x:v>
      </x:c>
      <x:c r="B26" s="13" t="str">
        <x:v>Scoring and interpretation</x:v>
      </x:c>
      <x:c r="C26" s="13" t="str">
        <x:v>The brief proposes frequency 30%, scope standardization 25%, no-conversation pricing 20%, supply integrability 15%, and ticket-size trust 10%. This report preserves those proposed weights but does not compute a composite score. Ticket-size trust has no agreed objective or rubric, and comparable all-in ticket distributions are absent. Adding a number just to complete a weighted formula would imply unsupported precision. The four supported dimensions receive explicitly judgmental 1 to 5 values. The final ordering is a conditional testing priority that also considers access, distribution and incremental value. Scope standardization and pricing remain hard gates for the particular service and customer cohort.</x:v>
      </x:c>
    </x:row>
    <x:row r="27" ht="77" customHeight="1">
      <x:c r="A27" s="8" t="str">
        <x:v>Study method</x:v>
      </x:c>
      <x:c r="B27" s="8" t="str">
        <x:v>Scoring and interpretation</x:v>
      </x:c>
      <x:c r="C27" s="8" t="str">
        <x:v>Frequency scores describe a hypothesized service cadence, not measured requests to an assistant. Scope and price scores are cohort-specific. A repeat clean for an existing household can be more structured than a first-time deep clean. A haircut can be menu-priced while a corrective color service requires consultation. A routine oil change can be productized while diagnostic auto repair cannot. Changing the eligible service changes the score and the market being evaluated.</x:v>
      </x:c>
    </x:row>
    <x:row r="28" ht="64" customHeight="1">
      <x:c r="A28" s="13" t="str">
        <x:v>Study method</x:v>
      </x:c>
      <x:c r="B28" s="13" t="str">
        <x:v>Scoring and interpretation</x:v>
      </x:c>
      <x:c r="C28" s="13" t="str">
        <x:v>Supply integrability combines documented operations with realistic access requirements. Ticket-size trust assesses the burden of approving and correcting a transaction, not simply the desirability of a larger ticket. Rankings are sensitivity checks and interview priorities. They are not estimates of market size, conversion, revenue or investment returns.</x:v>
      </x:c>
    </x:row>
    <x:row r="29" ht="64" customHeight="1">
      <x:c r="A29" s="8" t="str">
        <x:v>Study method</x:v>
      </x:c>
      <x:c r="B29" s="8" t="str">
        <x:v>What the present study cannot estimate</x:v>
      </x:c>
      <x:c r="C29" s="8" t="str">
        <x:v>The evidence cannot estimate platform-wide demand, category shares, the proportion of requests requiring phone calls, consumer abandonment, agent-led booking conversion, household willingness to pay, operator willingness to integrate, average order value, acquisition cost, support cost or defensible market size. It also cannot measure the causal time saved by middleware. Those require a prospective consented request log and provider-authorized end-to-end comparisons.</x:v>
      </x:c>
    </x:row>
    <x:row r="30" ht="64" customHeight="1">
      <x:c r="A30" s="13" t="str">
        <x:v>Study method</x:v>
      </x:c>
      <x:c r="B30" s="13" t="str">
        <x:v>Measurement definitions for the next study</x:v>
      </x:c>
      <x:c r="C30" s="13" t="str">
        <x:v>The next study should assign a stable request ID before an agent chooses a channel. Record the authorized user objective, category, service and scope fields, metro, anonymized requester ID, provider, permission envelope, timestamps, available channels, attempted channels, choke points in order, provider response, terminal state and authoritative confirmation. Link retries to the same request rather than inflating demand.</x:v>
      </x:c>
    </x:row>
    <x:row r="31" ht="77" customHeight="1">
      <x:c r="A31" s="8" t="str">
        <x:v>Study method</x:v>
      </x:c>
      <x:c r="B31" s="8" t="str">
        <x:v>Measurement definitions for the next study</x:v>
      </x:c>
      <x:c r="C31" s="8" t="str">
        <x:v>Completion without a phone call is confirmed eligible requests completed with no phone interaction divided by all eligible requests with a known terminal outcome. Phone-required share needs evidence that a phone call was necessary, rather than merely chosen or offered. Phone-used share is a separate measure. Abandonment due to friction requires explicit reason evidence. Report unknown outcomes and unresolved requests separately so missingness does not improve success rates.</x:v>
      </x:c>
    </x:row>
    <x:row r="32" ht="64" customHeight="1">
      <x:c r="A32" s="13" t="str">
        <x:v>Study method</x:v>
      </x:c>
      <x:c r="B32" s="13" t="str">
        <x:v>Measurement definitions for the next study</x:v>
      </x:c>
      <x:c r="C32" s="13" t="str">
        <x:v>Time to confirmed booking begins when the authorized request is complete enough to act and ends at provider confirmation. Report both total elapsed time and active operator or agent work. Quote-wait time and customer-approval time remain visible. Censored requests must be counted and described rather than silently excluded from medians. Comparisons should hold the requested service, scope, provider cohort and stopping boundary constant.</x:v>
      </x:c>
    </x:row>
    <x:row r="33" ht="103" customHeight="1">
      <x:c r="A33" s="8" t="str">
        <x:v>Study method</x:v>
      </x:c>
      <x:c r="B33" s="8" t="str">
        <x:v>Measurement definitions for the next study</x:v>
      </x:c>
      <x:c r="C33" s="8" t="str">
        <x:v>For a pilot, count duplicate reservations, incorrect prices, wrong times, unapproved charges, lost cancellations and unauthorized data disclosures separately from recoverable errors. Every severe incident should trigger investigation. A small zero-error sample does not establish a low production failure rate. For example, under independent identical Bernoulli trials, zero observed failures in three full tests still leaves a one-sided 95% upper failure bound of approximately 63.2%. At least 299 independent zero-failure tests would be needed to put that bound below 1%. These calculations are illustrations only. The public inspections in this study are neither independent full transactions nor a reliability validation set.</x:v>
      </x:c>
    </x:row>
    <x:row r="34" ht="77" customHeight="1">
      <x:c r="A34" s="13" t="str">
        <x:v>Decision framework</x:v>
      </x:c>
      <x:c r="B34" s="13" t="str">
        <x:v>Decision</x:v>
      </x:c>
      <x:c r="C34" s="13" t="str">
        <x:v>Do not yet build a horizontal booking marketplace or claim that a category lacks APIs. First test a permissioned, narrowly bounded exception-management rail for existing cleaning customers: reschedule, pause or restart an established clean, or order an extra clean using a supplier-approved service definition and price. Start with one booking system and three opted-in operators. Require an agent/distribution partner that can deliver genuine authorized requests. These are prerequisites, not assumed assets.</x:v>
      </x:c>
    </x:row>
    <x:row r="35" ht="77" customHeight="1">
      <x:c r="A35" s="8" t="str">
        <x:v>Decision framework</x:v>
      </x:c>
      <x:c r="B35" s="8" t="str">
        <x:v>Decision</x:v>
      </x:c>
      <x:c r="C35" s="8" t="str">
        <x:v>This is the first *commercial hypothesis to test*, rather than a conclusion that cleaning demand is largest. Its attraction is a potentially stable household/service relationship and meaningful service value; its largest weakness is that recurring cleaning already schedules itself. Native portals and assistants already solve some exceptions. The experiment must establish that enough unresolved exceptions exist, that the rail materially improves them, and that someone pays more than its total variable cost.</x:v>
      </x:c>
    </x:row>
    <x:row r="36" ht="77" customHeight="1">
      <x:c r="A36" s="13" t="str">
        <x:v>Decision framework</x:v>
      </x:c>
      <x:c r="B36" s="13" t="str">
        <x:v>Decision</x:v>
      </x:c>
      <x:c r="C36" s="13" t="str">
        <x:v>If cleaning operators will not grant usable access, use Square-backed standard barber appointments as a technical and demand control, with opted-in merchants and zero-cancellation-fee services. The documented API cannot create a booking with a nonzero cancellation fee. [B3] This is easier to delimit, but is not automatically a better business. If neither supply permission nor genuine distribution is available, stop the rail build and collect evidence rather than replace access with brittle scraping.</x:v>
      </x:c>
    </x:row>
    <x:row r="37" ht="77" customHeight="1">
      <x:c r="A37" s="8" t="str">
        <x:v>Decision framework</x:v>
      </x:c>
      <x:c r="B37" s="8" t="str">
        <x:v>What can and cannot be measured here</x:v>
      </x:c>
      <x:c r="C37" s="8" t="str">
        <x:v>The historical audit reports one user's visible conversation audit covering 30 September to 4 October 2026: 103 retrieved records and 102 analyzed after one unrelated sensitive identity-text exclusion, zero explicit booking-execution requests and three booking-adjacent episodes. That is a measured zero within a short, bounded corpus. It is not evidence of zero historical booking demand, and cannot rank five or ten categories. There are no platform-wide, cross-user or 90-day agent-task logs available to this study.</x:v>
      </x:c>
    </x:row>
    <x:row r="38" ht="64" customHeight="1">
      <x:c r="A38" s="13" t="str">
        <x:v>Decision framework</x:v>
      </x:c>
      <x:c r="B38" s="13" t="str">
        <x:v>What can and cannot be measured here</x:v>
      </x:c>
      <x:c r="C38" s="13" t="str">
        <x:v>Consequently, for every category below, the following fields are unavailable in this study: 90-day request count, unique requesting users, no-phone completion share, phone-required completion share, abandonment share, repeated agent-request frequency and missing-rail fallback count. A denominator of zero does not produce a zero-percent completion rate. The separate public-flow observations measure only what was visible up to their authorized stopping points.</x:v>
      </x:c>
    </x:row>
    <x:row r="39" ht="34" customHeight="1">
      <x:c r="A39" s="8" t="str">
        <x:v>Decision framework</x:v>
      </x:c>
      <x:c r="B39" s="8" t="str">
        <x:v>What can and cannot be measured here</x:v>
      </x:c>
      <x:c r="C39" s="8" t="str">
        <x:v>Source labels used below:</x:v>
      </x:c>
    </x:row>
    <x:row r="40" ht="38" customHeight="1">
      <x:c r="A40" s="13" t="str">
        <x:v>Decision framework</x:v>
      </x:c>
      <x:c r="B40" s="13" t="str">
        <x:v>What can and cannot be measured here</x:v>
      </x:c>
      <x:c r="C40" s="13" t="str">
        <x:v>Primary published fact: a government rule, provider menu, software documentation or provider statement, with its scope and caveats retained</x:v>
      </x:c>
    </x:row>
    <x:row r="41" ht="34" customHeight="1">
      <x:c r="A41" s="8" t="str">
        <x:v>Decision framework</x:v>
      </x:c>
      <x:c r="B41" s="8" t="str">
        <x:v>What can and cannot be measured here</x:v>
      </x:c>
      <x:c r="C41" s="8" t="str">
        <x:v>Judgment: an analyst score, commercial interpretation or hypothesis, not an observed rate</x:v>
      </x:c>
    </x:row>
    <x:row r="42" ht="34" customHeight="1">
      <x:c r="A42" s="13" t="str">
        <x:v>Decision framework</x:v>
      </x:c>
      <x:c r="B42" s="13" t="str">
        <x:v>What can and cannot be measured here</x:v>
      </x:c>
      <x:c r="C42" s="13" t="str">
        <x:v>Assumption: an input chosen to illustrate economics or design an experiment</x:v>
      </x:c>
    </x:row>
    <x:row r="43" ht="34" customHeight="1">
      <x:c r="A43" s="8" t="str">
        <x:v>Decision framework</x:v>
      </x:c>
      <x:c r="B43" s="8" t="str">
        <x:v>What can and cannot be measured here</x:v>
      </x:c>
      <x:c r="C43" s="8" t="str">
        <x:v>Unavailable: this study did not observe the information needed; this must not be replaced by zero</x:v>
      </x:c>
    </x:row>
    <x:row r="44" ht="64" customHeight="1">
      <x:c r="A44" s="13" t="str">
        <x:v>Decision framework</x:v>
      </x:c>
      <x:c r="B44" s="13" t="str">
        <x:v>Corrections to the supplied research prompts</x:v>
      </x:c>
      <x:c r="C44" s="13" t="str">
        <x:v>1. An agent's conversational memory is not a telemetry warehouse. Ask each team to identify actual logs, retention period, users covered, channels, deduplication rules and excluded tasks before accepting counts. Preserve missing data as missing. Separate an explicit request to execute a booking from discovery, recommendations, schedule discussion, offered help and scheduled background checks.</x:v>
      </x:c>
    </x:row>
    <x:row r="45" ht="64" customHeight="1">
      <x:c r="A45" s="8" t="str">
        <x:v>Decision framework</x:v>
      </x:c>
      <x:c r="B45" s="8" t="str">
        <x:v>Corrections to the supplied research prompts</x:v>
      </x:c>
      <x:c r="C45" s="8" t="str">
        <x:v>2. Cross-agent agreement is not independent replication. Teams may share underlying models, search results, provider lists, task definitions and platform limitations. Agreement can reproduce correlated selection or measurement error. Disagreement may expose a genuine segment, geography or platform difference; it is not automatically noise. Compare actual independently sampled cases and their selection frames, not ranked prose alone.</x:v>
      </x:c>
    </x:row>
    <x:row r="46" ht="51" customHeight="1">
      <x:c r="A46" s="13" t="str">
        <x:v>Decision framework</x:v>
      </x:c>
      <x:c r="B46" s="13" t="str">
        <x:v>Corrections to the supplied research prompts</x:v>
      </x:c>
      <x:c r="C46" s="13" t="str">
        <x:v>3. A phone fallback does not establish a missing API. The API may exist but require merchant consent, a paid plan, a partner contract, fields absent from the prompt, or permissions the agent lacks. A supplier may deliberately withhold slots. Conversely, a public website that books easily does not establish public API rights.</x:v>
      </x:c>
    </x:row>
    <x:row r="47" ht="51" customHeight="1">
      <x:c r="A47" s="8" t="str">
        <x:v>Decision framework</x:v>
      </x:c>
      <x:c r="B47" s="8" t="str">
        <x:v>Corrections to the supplied research prompts</x:v>
      </x:c>
      <x:c r="C47" s="8" t="str">
        <x:v>4. Measure the causal bottleneck. Split UI inconvenience, integration access, absent structured scope, uncertain price, operational capacity, customer consent/payment, platform security and supplier policy. APIs can remove navigation and some message exchange; they do not manufacture staff, diagnose an unknown repair or authorize a payment.</x:v>
      </x:c>
    </x:row>
    <x:row r="48" ht="64" customHeight="1">
      <x:c r="A48" s="13" t="str">
        <x:v>Decision framework</x:v>
      </x:c>
      <x:c r="B48" s="13" t="str">
        <x:v>Corrections to the supplied research prompts</x:v>
      </x:c>
      <x:c r="C48" s="13" t="str">
        <x:v>5. Service recurrence is not booking recurrence. A weekly clean or mow may be placed once and auto-renewed indefinitely. Measure separately first booking, automatic service occurrence, voluntary rebooking, extra service and exception change. Monetizable operations are usually fewer than visits, and an API can reduce them further by installing one recurring schedule.</x:v>
      </x:c>
    </x:row>
    <x:row r="49" ht="64" customHeight="1">
      <x:c r="A49" s="8" t="str">
        <x:v>Decision framework</x:v>
      </x:c>
      <x:c r="B49" s="8" t="str">
        <x:v>Corrections to the supplied research prompts</x:v>
      </x:c>
      <x:c r="C49" s="8" t="str">
        <x:v>6. A visit to a booking page is not a completed booking. Add states such as observed menu, slot visible, ready for authorized commit, policy stop, environment block, provider rejection, quote requested, quote pending, confirmed and cancelled. Do not call a researcher policy stop user abandonment. Do not call an inquiry or pending request a confirmation.</x:v>
      </x:c>
    </x:row>
    <x:row r="50" ht="51" customHeight="1">
      <x:c r="A50" s="13" t="str">
        <x:v>Decision framework</x:v>
      </x:c>
      <x:c r="B50" s="13" t="str">
        <x:v>Corrections to the supplied research prompts</x:v>
      </x:c>
      <x:c r="C50" s="13" t="str">
        <x:v>7. A precommit stop is right-censoring. Report elapsed time to the precise observed state. It is not time to book. If each category has only three observations, the median is merely the middle observed duration and is highly unstable. Different stopping states must not be combined into a league table of median booking speeds.</x:v>
      </x:c>
    </x:row>
    <x:row r="51" ht="64" customHeight="1">
      <x:c r="A51" s="8" t="str">
        <x:v>Decision framework</x:v>
      </x:c>
      <x:c r="B51" s="8" t="str">
        <x:v>Corrections to the supplied research prompts</x:v>
      </x:c>
      <x:c r="C51" s="8" t="str">
        <x:v>8. The last reversible step can still change external state. Typing into autosaving fields, initiating a quote, placing a temporary hold or supplying contact details can transmit data or trigger work. Use nonpersonal parameters, inspect effects and stop before holds, contact submission, account creation or payment without authorization. Never submit fictitious orders simply to finish a research test.</x:v>
      </x:c>
    </x:row>
    <x:row r="52" ht="51" customHeight="1">
      <x:c r="A52" s="13" t="str">
        <x:v>Decision framework</x:v>
      </x:c>
      <x:c r="B52" s="13" t="str">
        <x:v>Corrections to the supplied research prompts</x:v>
      </x:c>
      <x:c r="C52" s="13" t="str">
        <x:v>9. Do not score an entire trade as one SKU. Standard haircut differs from color correction; oil change differs from diagnosing a warning light; repeat cleaning differs from first-time hoarding cleanup; maintenance differs from emergency HVAC repair. Define a customer, service and supplier policy before scoring.</x:v>
      </x:c>
    </x:row>
    <x:row r="53" ht="38" customHeight="1">
      <x:c r="A53" s="8" t="str">
        <x:v>Decision framework</x:v>
      </x:c>
      <x:c r="B53" s="8" t="str">
        <x:v>Corrections to the supplied research prompts</x:v>
      </x:c>
      <x:c r="C53" s="8" t="str">
        <x:v>10. A top ten can be hypotheses, not estimated empirical facts. No numerical request counts or typical tickets should be invented to fill a table. Keep rank, evidence, assumptions and falsification conditions visible.</x:v>
      </x:c>
    </x:row>
    <x:row r="54" ht="64" customHeight="1">
      <x:c r="A54" s="13" t="str">
        <x:v>Decision framework</x:v>
      </x:c>
      <x:c r="B54" s="13" t="str">
        <x:v>Corrections to the supplied research prompts</x:v>
      </x:c>
      <x:c r="C54" s="13" t="str">
        <x:v>11. The suggested weights are a preference, not a validated predictive model. Frequency at 30%, standardization 25%, price 20%, integration 15% and ticket trust 10% do not measure willingness to pay or distribution. Ticket size is not a monotonic positive: a high bill increases economic room but also authorization, dispute and liability costs. Use hard gates before weighted ranking.</x:v>
      </x:c>
    </x:row>
    <x:row r="55" ht="90" customHeight="1">
      <x:c r="A55" s="8" t="str">
        <x:v>Decision framework</x:v>
      </x:c>
      <x:c r="B55" s="8" t="str">
        <x:v>Corrections to the supplied research prompts</x:v>
      </x:c>
      <x:c r="C55" s="8" t="str">
        <x:v>12. Public convenience samples cannot estimate population rates. Three providers per category in one metro are good for discovering failure modes. They cannot establish category prevalence or national success rates. Selection of search-visible businesses likely misses some offline suppliers. Do not add conventional confidence intervals as if this were a probability sample. AAPOR cautions against population inference from nonprobability samples without justified models. AAPOR (https://aapor.org/statements/understanding-a-credibility-interval-and-how-it-differs-from-the-margin-of-sampling-error-in-a-public-opinion-poll/)</x:v>
      </x:c>
    </x:row>
    <x:row r="56" ht="51" customHeight="1">
      <x:c r="A56" s="13" t="str">
        <x:v>Decision framework</x:v>
      </x:c>
      <x:c r="B56" s="13" t="str">
        <x:v>Corrections to the supplied research prompts</x:v>
      </x:c>
      <x:c r="C56" s="13" t="str">
        <x:v>For scale only: even in an imaginary independent random sample, three successes out of three would have an exact two-sided 95% binomial interval approximately 29%–100%. This illustration is not an interval for the Boston purposive sample and does not fix its selection bias.</x:v>
      </x:c>
    </x:row>
    <x:row r="57" ht="34" customHeight="1">
      <x:c r="A57" s="8" t="str">
        <x:v>Decision framework</x:v>
      </x:c>
      <x:c r="B57" s="8" t="str">
        <x:v>Selection framework</x:v>
      </x:c>
      <x:c r="C57" s="8" t="str">
        <x:v>Apply these hard gates before any category ranking:</x:v>
      </x:c>
    </x:row>
    <x:row r="58" ht="38" customHeight="1">
      <x:c r="A58" s="13" t="str">
        <x:v>Decision framework</x:v>
      </x:c>
      <x:c r="B58" s="13" t="str">
        <x:v>Selection framework</x:v>
      </x:c>
      <x:c r="C58" s="13" t="str">
        <x:v>Permission and usable access: the provider grants the necessary rights; API terms permit the use; required functions are available on its plan; customer authority is explicit</x:v>
      </x:c>
    </x:row>
    <x:row r="59" ht="38" customHeight="1">
      <x:c r="A59" s="8" t="str">
        <x:v>Decision framework</x:v>
      </x:c>
      <x:c r="B59" s="8" t="str">
        <x:v>Selection framework</x:v>
      </x:c>
      <x:c r="C59" s="8" t="str">
        <x:v>Executable offer: structured scope, valid quote or a disclosed capped-price policy, cancellation terms and a capacity-aware slot are available before commitment</x:v>
      </x:c>
    </x:row>
    <x:row r="60" ht="38" customHeight="1">
      <x:c r="A60" s="13" t="str">
        <x:v>Decision framework</x:v>
      </x:c>
      <x:c r="B60" s="13" t="str">
        <x:v>Selection framework</x:v>
      </x:c>
      <x:c r="C60" s="13" t="str">
        <x:v>Correctness: authoritative confirmation, duplicate prevention, reconciliation, cancellation and recovery are possible without asserting an unverified booking</x:v>
      </x:c>
    </x:row>
    <x:row r="61" ht="38" customHeight="1">
      <x:c r="A61" s="8" t="str">
        <x:v>Decision framework</x:v>
      </x:c>
      <x:c r="B61" s="8" t="str">
        <x:v>Selection framework</x:v>
      </x:c>
      <x:c r="C61" s="8" t="str">
        <x:v>Distribution: there is a reachable cohort with genuine booking/change intent, plus permission to pass only required information to participating suppliers</x:v>
      </x:c>
    </x:row>
    <x:row r="62" ht="38" customHeight="1">
      <x:c r="A62" s="13" t="str">
        <x:v>Decision framework</x:v>
      </x:c>
      <x:c r="B62" s="13" t="str">
        <x:v>Selection framework</x:v>
      </x:c>
      <x:c r="C62" s="13" t="str">
        <x:v>Economic value: observed savings or incremental contribution exceed upstream fees, support, liability, onboarding and acquisition costs</x:v>
      </x:c>
    </x:row>
    <x:row r="63" ht="64" customHeight="1">
      <x:c r="A63" s="8" t="str">
        <x:v>Decision framework</x:v>
      </x:c>
      <x:c r="B63" s="8" t="str">
        <x:v>Selection framework</x:v>
      </x:c>
      <x:c r="C63" s="8" t="str">
        <x:v>A weighted total is deliberately not computed. Ticket-size trust is not operationally defined in the supplied brief, and no comparable all-in ticket distributions or validated trust-cost function are available. The rank below is judgment about testing order, independent of weighted arithmetic. Do not normalize the four scores to fabricate the missing ticket-trust component.</x:v>
      </x:c>
    </x:row>
    <x:row r="64" ht="38" customHeight="1">
      <x:c r="A64" s="13" t="str">
        <x:v>Decision framework</x:v>
      </x:c>
      <x:c r="B64" s="13" t="str">
        <x:v>Selection framework</x:v>
      </x:c>
      <x:c r="C64" s="13" t="str">
        <x:v>The matrix uses judgment scores, not measured category averages or platform coverage. Each score concerns the specified narrow segment, and is provisional until an actual partner integration works.</x:v>
      </x:c>
    </x:row>
    <x:row r="65" ht="90" customHeight="1">
      <x:c r="A65" s="8" t="str">
        <x:v>Decision framework</x:v>
      </x:c>
      <x:c r="B65" s="8" t="str">
        <x:v>Score rubric</x:v>
      </x:c>
      <x:c r="C65" s="8" t="str">
        <x:v>Dimension: Scope standardization S
1: Diagnosis/custom design central
2: Substantial photos, inspection or conversation
3: Menu exists but important conditional intake
4: Structured parameters cover a bounded service; exceptions excluded
5: Fixed service unit with minimal eligibility variation</x:v>
      </x:c>
    </x:row>
    <x:row r="66" ht="90" customHeight="1">
      <x:c r="A66" s="13" t="str">
        <x:v>Decision framework</x:v>
      </x:c>
      <x:c r="B66" s="13" t="str">
        <x:v>Score rubric</x:v>
      </x:c>
      <x:c r="C66" s="13" t="str">
        <x:v>Dimension: Price transparency P
1: No useful previsit amount
2: Starting/hourly price with unresolved total
3: Computable estimate but variable fees or condition
4: Fixed menu or structured quote plausible for selected segment; final all-in verification still needed
5: Binding all-in amount including mandatory fees verified for the exact request</x:v>
      </x:c>
    </x:row>
    <x:row r="67" ht="90" customHeight="1">
      <x:c r="A67" s="8" t="str">
        <x:v>Decision framework</x:v>
      </x:c>
      <x:c r="B67" s="8" t="str">
        <x:v>Score rubric</x:v>
      </x:c>
      <x:c r="C67" s="8" t="str">
        <x:v>Dimension: Repeat opportunity F
1: Episodic or not established
2: Annual/semiannual potential
3: Several times a year potential
4: Roughly monthly to eight-week potential
5: Weekly/biweekly potential among active customers</x:v>
      </x:c>
    </x:row>
    <x:row r="68" ht="90" customHeight="1">
      <x:c r="A68" s="13" t="str">
        <x:v>Decision framework</x:v>
      </x:c>
      <x:c r="B68" s="13" t="str">
        <x:v>Score rubric</x:v>
      </x:c>
      <x:c r="C68" s="13" t="str">
        <x:v>Dimension: Supply integrability I
1: No suitable structured access identified
2: Digital product exists; relevant write access unverified
3: Relevant API documented, but function/access/plan restrictions remain
4: Documented availability and lifecycle operations with bounded merchant onboarding
5: Authorized production integration has been tested successfully in this study</x:v>
      </x:c>
    </x:row>
    <x:row r="69" ht="64" customHeight="1">
      <x:c r="A69" s="8" t="str">
        <x:v>Decision framework</x:v>
      </x:c>
      <x:c r="B69" s="8" t="str">
        <x:v>Score rubric</x:v>
      </x:c>
      <x:c r="C69" s="8" t="str">
        <x:v>F is a judgment of *service cadence opportunity in the targeted paying cohort*, not all-household behavior or agent requests. All ten categories have unknown actual agent-request repeat rates. No I=5 or P=5 is awarded here because this review did not authorize and execute a production transaction. A score of 1 for frequency indicates an episodic hypothesis, not measured zero demand.</x:v>
      </x:c>
    </x:row>
    <x:row r="70" ht="51" customHeight="1">
      <x:c r="A70" s="13" t="str">
        <x:v>Decision framework</x:v>
      </x:c>
      <x:c r="B70" s="13" t="str">
        <x:v>Frequency evidence and its limits</x:v>
      </x:c>
      <x:c r="C70" s="13" t="str">
        <x:v>Molly Maid offers weekly, biweekly and customized recurring service but also describes first-visit estimation and higher initial effort. That establishes offered cadences, not how often a representative household purchases cleaning. [C2]</x:v>
      </x:c>
    </x:row>
    <x:row r="71" ht="38" customHeight="1">
      <x:c r="A71" s="8" t="str">
        <x:v>Decision framework</x:v>
      </x:c>
      <x:c r="B71" s="8" t="str">
        <x:v>Frequency evidence and its limits</x:v>
      </x:c>
      <x:c r="C71" s="8" t="str">
        <x:v>PetSmart recommends bathing/grooming approximately every four to six weeks, including at-home care. It is a provider recommendation, not paid professional grooming frequency or agent booking demand. [G3]</x:v>
      </x:c>
    </x:row>
    <x:row r="72" ht="38" customHeight="1">
      <x:c r="A72" s="13" t="str">
        <x:v>Decision framework</x:v>
      </x:c>
      <x:c r="B72" s="13" t="str">
        <x:v>Frequency evidence and its limits</x:v>
      </x:c>
      <x:c r="C72" s="13" t="str">
        <x:v>Lawn Love defines weekly, 14-day and seasonal 28-day schedules, illustrating that recurring operations can already be automated. Its Boston marketing statistics are not an audited population survey. [N1,N2]</x:v>
      </x:c>
    </x:row>
    <x:row r="73" ht="38" customHeight="1">
      <x:c r="A73" s="8" t="str">
        <x:v>Decision framework</x:v>
      </x:c>
      <x:c r="B73" s="8" t="str">
        <x:v>Frequency evidence and its limits</x:v>
      </x:c>
      <x:c r="C73" s="8" t="str">
        <x:v>ENERGY STAR recommends annual preseason contractor checks; heating and cooling may have separate seasonal appointments. This is maintenance guidance, not actual paid demand. [H2]</x:v>
      </x:c>
    </x:row>
    <x:row r="74" ht="38" customHeight="1">
      <x:c r="A74" s="13" t="str">
        <x:v>Decision framework</x:v>
      </x:c>
      <x:c r="B74" s="13" t="str">
        <x:v>Frequency evidence and its limits</x:v>
      </x:c>
      <x:c r="C74" s="13" t="str">
        <x:v>Terminix says most of its residential recurring-service customers receive three or four services annually, varying by geography. This is the company's own customer-plan statement, not all households or new booking frequency. [P2]</x:v>
      </x:c>
    </x:row>
    <x:row r="75" ht="51" customHeight="1">
      <x:c r="A75" s="8" t="str">
        <x:v>Decision framework</x:v>
      </x:c>
      <x:c r="B75" s="8" t="str">
        <x:v>Frequency evidence and its limits</x:v>
      </x:c>
      <x:c r="C75" s="8" t="str">
        <x:v>No realized household or agent repeat rate was measured for barber, laundry, classes or handyman in this study. Their F scores are explicit hypotheses about selected active-customer cohorts. Do not turn memberships into attendance, recommendations into purchases or annual household expenditure into visit counts.</x:v>
      </x:c>
    </x:row>
    <x:row r="76" ht="51" customHeight="1">
      <x:c r="A76" s="13" t="str">
        <x:v>Decision framework</x:v>
      </x:c>
      <x:c r="B76" s="13" t="str">
        <x:v>Frequency evidence and its limits</x:v>
      </x:c>
      <x:c r="C76" s="13" t="str">
        <x:v>BLS reports average 2024 spending of $978 per consumer unit on personal care products and services combined. It does not isolate booking demand; the category combines goods and services and averages across users and nonusers. We intentionally do not divide this number by a haircut menu price or use it to size this rail. [BLS]</x:v>
      </x:c>
    </x:row>
    <x:row r="77" ht="51" customHeight="1">
      <x:c r="A77" s="8" t="str">
        <x:v>Decision framework</x:v>
      </x:c>
      <x:c r="B77" s="8" t="str">
        <x:v>Conditional ranking of ten hypotheses</x:v>
      </x:c>
      <x:c r="C77" s="8" t="str">
        <x:v>This ranking is judgment about testing order, not pain prevalence, request volume or a statistically estimated top ten. Differences between adjacent ranks are weakly supported. A permissioned distribution partner could change the order completely.</x:v>
      </x:c>
    </x:row>
    <x:row r="78" ht="51" customHeight="1">
      <x:c r="A78" s="13" t="str">
        <x:v>Decision framework</x:v>
      </x:c>
      <x:c r="B78" s="13" t="str">
        <x:v>Conditional ranking of ten hypotheses</x:v>
      </x:c>
      <x:c r="C78" s="13" t="str">
        <x:v>1. Cleaning exceptions for known households. Test an agent-accessible link to an existing recurring relationship, with extra clean, pause/restart and reschedule actions only when supported. Kill it if native self-service already handles the need, exceptions are rare, or supplier access requires unaffordable onboarding.</x:v>
      </x:c>
    </x:row>
    <x:row r="79" ht="64" customHeight="1">
      <x:c r="A79" s="8" t="str">
        <x:v>Decision framework</x:v>
      </x:c>
      <x:c r="B79" s="8" t="str">
        <x:v>Conditional ranking of ten hypotheses</x:v>
      </x:c>
      <x:c r="C79" s="8" t="str">
        <x:v>2. Standard barber rebooking. Useful technical control with known staff/service, stable duration and documented Square operations, limited initially to zero-cancellation-fee services. A new booking for a returning customer fits buyer-level scope; changing a pre-existing booking made outside the app may require seller-level access and a paid plan. Commercial wedge needs an audience or cross-provider workflow that Square's booking link does not already serve.</x:v>
      </x:c>
    </x:row>
    <x:row r="80" ht="51" customHeight="1">
      <x:c r="A80" s="13" t="str">
        <x:v>Decision framework</x:v>
      </x:c>
      <x:c r="B80" s="13" t="str">
        <x:v>Conditional ranking of ten hypotheses</x:v>
      </x:c>
      <x:c r="C80" s="13" t="str">
        <x:v>3. Fixed-bag laundry through a building or concierge channel. A bounded bag, route-day and pickup/dropoff policy can simplify quoting. The hypothesis becomes more plausible with concentrated distribution, but building partnerships and operator permission are unproven. Weight-based models must not claim a final total before weighing.</x:v>
      </x:c>
    </x:row>
    <x:row r="81" ht="51" customHeight="1">
      <x:c r="A81" s="8" t="str">
        <x:v>Decision framework</x:v>
      </x:c>
      <x:c r="B81" s="8" t="str">
        <x:v>Conditional ranking of ten hypotheses</x:v>
      </x:c>
      <x:c r="C81" s="8" t="str">
        <x:v>4. Returning-pet salon rebooking. Preserve the pet's established package, eligibility and duration. Avoid mobile routing and new-pet assessment initially. Kill if final pricing remains unresolved until check-in or eligible capacity is too scarce for a better interface to matter.</x:v>
      </x:c>
    </x:row>
    <x:row r="82" ht="38" customHeight="1">
      <x:c r="A82" s="13" t="str">
        <x:v>Decision framework</x:v>
      </x:c>
      <x:c r="B82" s="13" t="str">
        <x:v>Conditional ranking of ten hypotheses</x:v>
      </x:c>
      <x:c r="C82" s="13" t="str">
        <x:v>5. Known-property lawn exceptions. Weather reschedules, pause/restart and approved add-ons may matter more than regular mowing. Seasonal volume and already automated recurrence cap usage; route rules must remain authoritative.</x:v>
      </x:c>
    </x:row>
    <x:row r="83" ht="51" customHeight="1">
      <x:c r="A83" s="8" t="str">
        <x:v>Decision framework</x:v>
      </x:c>
      <x:c r="B83" s="8" t="str">
        <x:v>Conditional ranking of ten hypotheses</x:v>
      </x:c>
      <x:c r="C83" s="8" t="str">
        <x:v>6. Fixed auto-maintenance appointment. Inspection or a precisely identified service is testable; the rail must distinguish a drop-off appointment from a guaranteed service-completion time. Low service frequency and $35 inspection value limit transaction fees.</x:v>
      </x:c>
    </x:row>
    <x:row r="84" ht="51" customHeight="1">
      <x:c r="A84" s="13" t="str">
        <x:v>Decision framework</x:v>
      </x:c>
      <x:c r="B84" s="13" t="str">
        <x:v>Conditional ranking of ten hypotheses</x:v>
      </x:c>
      <x:c r="C84" s="13" t="str">
        <x:v>7. HVAC maintenance booking for an existing plan. Potential renewal/seasonal reminder distribution, but few yearly events. A partner already reaching customers can matter more than a new search marketplace. Do not include emergency repair diagnosis.</x:v>
      </x:c>
    </x:row>
    <x:row r="85" ht="51" customHeight="1">
      <x:c r="A85" s="8" t="str">
        <x:v>Decision framework</x:v>
      </x:c>
      <x:c r="B85" s="8" t="str">
        <x:v>Conditional ranking of ten hypotheses</x:v>
      </x:c>
      <x:c r="C85" s="8" t="str">
        <x:v>8. Fitness class booking and waitlist changes. Strong technical fit and possible frequent intent, but existing Mindbody/ClassPass distribution and upstream booking charges constrain incremental value. A good control case; not a missing-rail claim.</x:v>
      </x:c>
    </x:row>
    <x:row r="86" ht="38" customHeight="1">
      <x:c r="A86" s="13" t="str">
        <x:v>Decision framework</x:v>
      </x:c>
      <x:c r="B86" s="13" t="str">
        <x:v>Conditional ranking of ten hypotheses</x:v>
      </x:c>
      <x:c r="C86" s="13" t="str">
        <x:v>9. Routine pest-plan changes. Established-customer exceptions may be structured. Inspection, species uncertainty and service-plan billing make first-time instant pricing weaker; recurring service can eliminate repeat booking events.</x:v>
      </x:c>
    </x:row>
    <x:row r="87" ht="51" customHeight="1">
      <x:c r="A87" s="8" t="str">
        <x:v>Decision framework</x:v>
      </x:c>
      <x:c r="B87" s="8" t="str">
        <x:v>Conditional ranking of ten hypotheses</x:v>
      </x:c>
      <x:c r="C87" s="8" t="str">
        <x:v>10. General handyman and diagnostic repair. Defer. A narrow item-based assembly SKU is more promising, especially with retailer demand, but that is a different distribution wedge already demonstrated by IKEA/Taskrabbit. Avoid treating "submit a request" as a fixed-price booking.</x:v>
      </x:c>
    </x:row>
    <x:row r="88" ht="64" customHeight="1">
      <x:c r="A88" s="13" t="str">
        <x:v>Decision framework</x:v>
      </x:c>
      <x:c r="B88" s="13" t="str">
        <x:v>The commercial job and incumbent risk</x:v>
      </x:c>
      <x:c r="C88" s="13" t="str">
        <x:v>A category can have many phone calls because the work is hard to scope or capacity is scarce. That can be a bad rail business. Supplier integration readiness often correlates with already-good digital booking, which reduces avoidable friction. Under-digitized suppliers can have more pain but no system of record or incentive to expose capacity. This is the central selection trade-off, not proof of an unsolved API market.</x:v>
      </x:c>
    </x:row>
    <x:row r="89" ht="34" customHeight="1">
      <x:c r="A89" s="8" t="str">
        <x:v>Decision framework</x:v>
      </x:c>
      <x:c r="B89" s="8" t="str">
        <x:v>The commercial job and incumbent risk</x:v>
      </x:c>
      <x:c r="C89" s="8" t="str">
        <x:v>Primary sources show substantial incumbents:</x:v>
      </x:c>
    </x:row>
    <x:row r="90" ht="38" customHeight="1">
      <x:c r="A90" s="13" t="str">
        <x:v>Decision framework</x:v>
      </x:c>
      <x:c r="B90" s="13" t="str">
        <x:v>The commercial job and incumbent risk</x:v>
      </x:c>
      <x:c r="C90" s="13" t="str">
        <x:v>Launch27 already offers real-time availability, flexible prices, recurrence and customer self-service. Its API is presented as a way to customize booking. [C3]</x:v>
      </x:c>
    </x:row>
    <x:row r="91" ht="38" customHeight="1">
      <x:c r="A91" s="8" t="str">
        <x:v>Decision framework</x:v>
      </x:c>
      <x:c r="B91" s="8" t="str">
        <x:v>The commercial job and incumbent risk</x:v>
      </x:c>
      <x:c r="C91" s="8" t="str">
        <x:v>HCP already supplies online booking with pricing, service areas and employee scheduling. Its own CSR AI competes for automated intake/booking. [C4,C6]</x:v>
      </x:c>
    </x:row>
    <x:row r="92" ht="38" customHeight="1">
      <x:c r="A92" s="13" t="str">
        <x:v>Decision framework</x:v>
      </x:c>
      <x:c r="B92" s="13" t="str">
        <x:v>The commercial job and incumbent risk</x:v>
      </x:c>
      <x:c r="C92" s="13" t="str">
        <x:v>Jobber online booking incorporates drive-time limits and has a Receptionist product that supports existing-client visit questions and changes. [C5,C7]</x:v>
      </x:c>
    </x:row>
    <x:row r="93" ht="38" customHeight="1">
      <x:c r="A93" s="8" t="str">
        <x:v>Decision framework</x:v>
      </x:c>
      <x:c r="B93" s="8" t="str">
        <x:v>The commercial job and incumbent risk</x:v>
      </x:c>
      <x:c r="C93" s="8" t="str">
        <x:v>Square already provides booking APIs and merchant booking surfaces. A connector does not by itself create customer distribution or authorize every merchant. [B2]</x:v>
      </x:c>
    </x:row>
    <x:row r="94" ht="77" customHeight="1">
      <x:c r="A94" s="13" t="str">
        <x:v>Decision framework</x:v>
      </x:c>
      <x:c r="B94" s="13" t="str">
        <x:v>The commercial job and incumbent risk</x:v>
      </x:c>
      <x:c r="C94" s="13" t="str">
        <x:v>Mindbody has booking APIs, its consumer app and an integration ecosystem including ClassPass. Its search-indexed primary API portal lists $15/location/integration plus $1.30/class booking or $2.50/appointment booking under Consumer Bookings. Initial text retrieval returned an empty page; the subsequent technical review verified the fee schedule in the live primary portal and FAQ [MB1, MB6]. Exact current applicability/contract must be confirmed before a pricing decision. [F2,F3]</x:v>
      </x:c>
    </x:row>
    <x:row r="95" ht="34" customHeight="1">
      <x:c r="A95" s="8" t="str">
        <x:v>Decision framework</x:v>
      </x:c>
      <x:c r="B95" s="8" t="str">
        <x:v>The commercial job and incumbent risk</x:v>
      </x:c>
      <x:c r="C95" s="8" t="str">
        <x:v>Cents already offers repeat laundry ordering and route controls. [L2]</x:v>
      </x:c>
    </x:row>
    <x:row r="96" ht="51" customHeight="1">
      <x:c r="A96" s="13" t="str">
        <x:v>Decision framework</x:v>
      </x:c>
      <x:c r="B96" s="13" t="str">
        <x:v>The commercial job and incumbent risk</x:v>
      </x:c>
      <x:c r="C96" s="13" t="str">
        <x:v>The defensible hypothesis is permissioned demand, high-quality normalization across providers, portable user preferences, audit-ready authorization and reliable lifecycle management. Calling existing APIs through MCP is an implementation choice. It is not alone evidence of a moat.</x:v>
      </x:c>
    </x:row>
    <x:row r="97" ht="34" customHeight="1">
      <x:c r="A97" s="8" t="str">
        <x:v>Decision framework</x:v>
      </x:c>
      <x:c r="B97" s="8" t="str">
        <x:v>The commercial job and incumbent risk</x:v>
      </x:c>
      <x:c r="C97" s="8" t="str">
        <x:v>Supplier willingness to participate is conditional:</x:v>
      </x:c>
    </x:row>
    <x:row r="98" ht="34" customHeight="1">
      <x:c r="A98" s="13" t="str">
        <x:v>Decision framework</x:v>
      </x:c>
      <x:c r="B98" s="13" t="str">
        <x:v>The commercial job and incumbent risk</x:v>
      </x:c>
      <x:c r="C98" s="13" t="str">
        <x:v>A supplier with idle capacity may value demonstrably incremental customers</x:v>
      </x:c>
    </x:row>
    <x:row r="99" ht="38" customHeight="1">
      <x:c r="A99" s="8" t="str">
        <x:v>Decision framework</x:v>
      </x:c>
      <x:c r="B99" s="8" t="str">
        <x:v>The commercial job and incumbent risk</x:v>
      </x:c>
      <x:c r="C99" s="8" t="str">
        <x:v>A supplier already full may value fewer interruptions, fewer no-shows or more profitable route density instead of more leads</x:v>
      </x:c>
    </x:row>
    <x:row r="100" ht="38" customHeight="1">
      <x:c r="A100" s="13" t="str">
        <x:v>Decision framework</x:v>
      </x:c>
      <x:c r="B100" s="13" t="str">
        <x:v>The commercial job and incumbent risk</x:v>
      </x:c>
      <x:c r="C100" s="13" t="str">
        <x:v>A supplier can reject a channel that commoditizes price, changes customer ownership, increases cancellations or sends poorly qualified jobs</x:v>
      </x:c>
    </x:row>
    <x:row r="101" ht="38" customHeight="1">
      <x:c r="A101" s="8" t="str">
        <x:v>Decision framework</x:v>
      </x:c>
      <x:c r="B101" s="8" t="str">
        <x:v>The commercial job and incumbent risk</x:v>
      </x:c>
      <x:c r="C101" s="8" t="str">
        <x:v>A recurring supplier is unlikely to pay an acquisition fee on every automatically scheduled visit without measurable incremental value</x:v>
      </x:c>
    </x:row>
    <x:row r="102" ht="34" customHeight="1">
      <x:c r="A102" s="13" t="str">
        <x:v>Decision framework</x:v>
      </x:c>
      <x:c r="B102" s="13" t="str">
        <x:v>The commercial job and incumbent risk</x:v>
      </x:c>
      <x:c r="C102" s="13" t="str">
        <x:v>An agent platform may pay for execution reliability, but no such willingness to pay was established here</x:v>
      </x:c>
    </x:row>
    <x:row r="103" ht="38" customHeight="1">
      <x:c r="A103" s="8" t="str">
        <x:v>Decision framework</x:v>
      </x:c>
      <x:c r="B103" s="8" t="str">
        <x:v>The commercial job and incumbent risk</x:v>
      </x:c>
      <x:c r="C103" s="8" t="str">
        <x:v>A new-customer lead product and an existing-customer operational rail need different attribution and prices. Charging on total service GMV without identifying who created incremental value overstates the addressable revenue.</x:v>
      </x:c>
    </x:row>
    <x:row r="104" ht="38" customHeight="1">
      <x:c r="A104" s="13" t="str">
        <x:v>Decision framework</x:v>
      </x:c>
      <x:c r="B104" s="13" t="str">
        <x:v>Explicitly assumed unit economics</x:v>
      </x:c>
      <x:c r="C104" s="13" t="str">
        <x:v>These numbers are scenarios, not observed prices, demand, costs, revenue forecasts or industry margins. They deliberately exclude fixed engineering/sales costs and show why discovery must precede scaling.</x:v>
      </x:c>
    </x:row>
    <x:row r="105" ht="51" customHeight="1">
      <x:c r="A105" s="8" t="str">
        <x:v>Decision framework</x:v>
      </x:c>
      <x:c r="B105" s="8" t="str">
        <x:v>Exception volume is the denominator</x:v>
      </x:c>
      <x:c r="C105" s="8" t="str">
        <x:v>Assume one cleaning operator performs 1,000 visits/month, and 5% generate a customer-initiated change that the rail can address. That is 50 operations, not 1,000 new bookings. At an assumed $2/operation, revenue would be $100/operator/month.</x:v>
      </x:c>
    </x:row>
    <x:row r="106" ht="64" customHeight="1">
      <x:c r="A106" s="13" t="str">
        <x:v>Decision framework</x:v>
      </x:c>
      <x:c r="B106" s="13" t="str">
        <x:v>Exception volume is the denominator</x:v>
      </x:c>
      <x:c r="C106" s="13" t="str">
        <x:v>If the current process takes three staff minutes at an assumed loaded cost of $30/hour, the maximum gross labor value is 50 × 3/60 × $30 = $75/month, before residual handling. A $100 charge is unattractive on labor savings alone. At eight minutes each, the gross maximum is $200; value after residual work may support a fee, but must be measured against the existing portal/receptionist baseline.</x:v>
      </x:c>
    </x:row>
    <x:row r="107" ht="51" customHeight="1">
      <x:c r="A107" s="8" t="str">
        <x:v>Decision framework</x:v>
      </x:c>
      <x:c r="B107" s="8" t="str">
        <x:v>Exception volume is the denominator</x:v>
      </x:c>
      <x:c r="C107" s="8" t="str">
        <x:v>At the same assumed 50 monthly operations, 100 active operators yield 5,000 operations and $10,000 monthly gross revenue at $2 each. This arithmetic demonstrates the scale required; it is not a pipeline forecast or evidence those operators exist or will adopt.</x:v>
      </x:c>
    </x:row>
    <x:row r="108" ht="51" customHeight="1">
      <x:c r="A108" s="13" t="str">
        <x:v>Decision framework</x:v>
      </x:c>
      <x:c r="B108" s="13" t="str">
        <x:v>Variable cost sensitivity</x:v>
      </x:c>
      <x:c r="C108" s="13" t="str">
        <x:v>For a hypothetical $2 operation fee, assume $0.50 upstream fee, $0.10 infrastructure and 10% of operations needing six human minutes at $30/hour. Expected support cost is $0.30/operation. Contribution before fixed costs is $1.10/operation, or 55%.</x:v>
      </x:c>
    </x:row>
    <x:row r="109" ht="51" customHeight="1">
      <x:c r="A109" s="8" t="str">
        <x:v>Decision framework</x:v>
      </x:c>
      <x:c r="B109" s="8" t="str">
        <x:v>Variable cost sensitivity</x:v>
      </x:c>
      <x:c r="C109" s="8" t="str">
        <x:v>If exception handling rises to 30% at ten minutes, expected support becomes $1.50 and contribution becomes negative $0.10, before acquisition and onboarding. API reliability and scope boundaries therefore affect feasibility more than a large service bill does.</x:v>
      </x:c>
    </x:row>
    <x:row r="110" ht="64" customHeight="1">
      <x:c r="A110" s="13" t="str">
        <x:v>Decision framework</x:v>
      </x:c>
      <x:c r="B110" s="13" t="str">
        <x:v>Variable cost sensitivity</x:v>
      </x:c>
      <x:c r="C110" s="13" t="str">
        <x:v>For fitness, apply the published Mindbody class-booking charge as an illustration: a hypothetical $2 rail fee minus $1.30 upstream leaves $0.70 before allocated location charge, infrastructure, support and acquisition. A $2 appointment fee would not cover a $2.50 upstream appointment charge. This is not a quote for a particular integration contract. [F2]</x:v>
      </x:c>
    </x:row>
    <x:row r="111" ht="64" customHeight="1">
      <x:c r="A111" s="8" t="str">
        <x:v>Decision framework</x:v>
      </x:c>
      <x:c r="B111" s="8" t="str">
        <x:v>Proposed pricing tests</x:v>
      </x:c>
      <x:c r="C111" s="8" t="str">
        <x:v>Test one payer and one job at a time: operator subscription for verified admin savings; agent/distribution partner per successful authorized operation; or supplier fee for verified incremental first bookings. Do not simultaneously assume all three revenue streams on the same action. For supplier ROI, compare contribution margin or real labor saved rather than revenue. Record refunds, disputes, compensation, onboarding effort and ongoing support.</x:v>
      </x:c>
    </x:row>
    <x:row r="112" ht="64" customHeight="1">
      <x:c r="A112" s="13" t="str">
        <x:v>Decision framework</x:v>
      </x:c>
      <x:c r="B112" s="13" t="str">
        <x:v>Proposed thirty day validation</x:v>
      </x:c>
      <x:c r="C112" s="13" t="str">
        <x:v>All numbers and thresholds in this section are proposed decision gates, not statistical facts or commitments already made. Thirty days can establish feasibility and early value; it cannot prove long-term retention or annual economics. Recruitment, supplier outreach, account access and live bookings require appropriate authorization and have not been performed in this review.</x:v>
      </x:c>
    </x:row>
    <x:row r="113" ht="64" customHeight="1">
      <x:c r="A113" s="8" t="str">
        <x:v>Decision framework</x:v>
      </x:c>
      <x:c r="B113" s="8" t="str">
        <x:v>Days 1 to 7 establish access and observable demand</x:v>
      </x:c>
      <x:c r="C113" s="8" t="str">
        <x:v>Define the pilot narrowly: existing cleaning customers, one metro, one source booking platform, supplier-approved prices and no new-job assessment. Obtain three willing operators and one permissioned distribution channel; preferably observe a second independent channel for demand comparison. Agree event logging and data minimization. Enumerate actual supported actions before advertising them.</x:v>
      </x:c>
    </x:row>
    <x:row r="114" ht="64" customHeight="1">
      <x:c r="A114" s="13" t="str">
        <x:v>Decision framework</x:v>
      </x:c>
      <x:c r="B114" s="13" t="str">
        <x:v>Days 1 to 7 establish access and observable demand</x:v>
      </x:c>
      <x:c r="C114" s="13" t="str">
        <x:v>Access gate: by day 7, at least three operator accounts on one platform can expose authoritative service definitions, eligible windows, prices/policies and write/read/cancel or change operations. Production rights and plan requirements are documented. If access is only a lead form or unconstrained calendar insertion, do not count it as an execution rail. Missing partner consent is a stop, not permission to scrape.</x:v>
      </x:c>
    </x:row>
    <x:row r="115" ht="64" customHeight="1">
      <x:c r="A115" s="8" t="str">
        <x:v>Decision framework</x:v>
      </x:c>
      <x:c r="B115" s="8" t="str">
        <x:v>Days 1 to 7 establish access and observable demand</x:v>
      </x:c>
      <x:c r="C115" s="8" t="str">
        <x:v>Demand instrumentation: collect all qualifying intents in the partner cohort, including failures and manual outcomes. Include request ID, pseudonymous household, category/SKU, new versus existing relationship, intent type, channel, eligibility, permission status, quote/slot state, outcome and reason. Record automatic visits separately. Preserve the actual denominator and count repeated intents from one household separately from unique households.</x:v>
      </x:c>
    </x:row>
    <x:row r="116" ht="51" customHeight="1">
      <x:c r="A116" s="13" t="str">
        <x:v>Decision framework</x:v>
      </x:c>
      <x:c r="B116" s="13" t="str">
        <x:v>Days 8 to 14 prove structured execution and failure handling</x:v>
      </x:c>
      <x:c r="C116" s="13" t="str">
        <x:v>Build only enough to compare the same supported requests through the current workflow and the rail. Use sandbox tests for timeout/retry, duplicate requests, stale windows, partial failures, unsupported extras, late cancellation and operator-side edits. An API method called create does not prove acceptance; retrieve the authoritative resulting state.</x:v>
      </x:c>
    </x:row>
    <x:row r="117" ht="51" customHeight="1">
      <x:c r="A117" s="8" t="str">
        <x:v>Decision framework</x:v>
      </x:c>
      <x:c r="B117" s="8" t="str">
        <x:v>Days 8 to 14 prove structured execution and failure handling</x:v>
      </x:c>
      <x:c r="C117" s="8" t="str">
        <x:v>Scope gate: at least 80% of genuine candidate exception intents can be expressed with structured fields and validated price/policy without a new descriptive conversation. Report eligible and ineligible volumes separately so narrowing the pilot does not hide most demand.</x:v>
      </x:c>
    </x:row>
    <x:row r="118" ht="51" customHeight="1">
      <x:c r="A118" s="13" t="str">
        <x:v>Decision framework</x:v>
      </x:c>
      <x:c r="B118" s="13" t="str">
        <x:v>Days 8 to 14 prove structured execution and failure handling</x:v>
      </x:c>
      <x:c r="C118" s="13" t="str">
        <x:v>Safety gate: zero unauthorized commitments, duplicate active bookings or claims of confirmation without a provider identifier. Require every synthetic race/timeout test to reconcile deterministically. Any severe incident pauses write execution for diagnosis. This is a release gate, not a statistical safety guarantee.</x:v>
      </x:c>
    </x:row>
    <x:row r="119" ht="77" customHeight="1">
      <x:c r="A119" s="8" t="str">
        <x:v>Decision framework</x:v>
      </x:c>
      <x:c r="B119" s="8" t="str">
        <x:v>Days 15 to 25 compare against the real baseline</x:v>
      </x:c>
      <x:c r="C119" s="8" t="str">
        <x:v>Run genuine, explicitly authorized requests. Avoid paired duplicate live bookings: randomize eligible real intents to the existing workflow or rail, or use shadow/sandbox replay for the unexecuted arm. Stratify by operator and action; keep provider/time effects visible. Measure user interaction time, end-to-end elapsed time, supplier handling minutes, true confirmed completion, exceptions, price deviations and cancellations separately. Record security/policy stops as such.</x:v>
      </x:c>
    </x:row>
    <x:row r="120" ht="64" customHeight="1">
      <x:c r="A120" s="13" t="str">
        <x:v>Decision framework</x:v>
      </x:c>
      <x:c r="B120" s="13" t="str">
        <x:v>Days 15 to 25 compare against the real baseline</x:v>
      </x:c>
      <x:c r="C120" s="13" t="str">
        <x:v>Minimum evidence gate: at least 50 qualified, genuine exception intents from at least 20 households across three operators within the observation window, with at least 30 live authorized rail operations and a comparable baseline. These are learning minima, not power calculations. If the cohort cannot generate them, do not declare category demand disproved; declare this distribution path insufficient for the proposed build and avoid full launch.</x:v>
      </x:c>
    </x:row>
    <x:row r="121" ht="64" customHeight="1">
      <x:c r="A121" s="8" t="str">
        <x:v>Decision framework</x:v>
      </x:c>
      <x:c r="B121" s="8" t="str">
        <x:v>Days 15 to 25 compare against the real baseline</x:v>
      </x:c>
      <x:c r="C121" s="8" t="str">
        <x:v>Performance gate: at least 90% of eligible authorized rail operations reach the correct confirmed or correctly cancelled/changed state without human intervention; median supplier handling time falls by at least 50% and at least three minutes per operation versus the matched baseline. Count an accurate refusal separately from a successful booking. Publish numerators, denominators and uncertainty; do not market the target as an achieved SLA.</x:v>
      </x:c>
    </x:row>
    <x:row r="122" ht="64" customHeight="1">
      <x:c r="A122" s="13" t="str">
        <x:v>Decision framework</x:v>
      </x:c>
      <x:c r="B122" s="13" t="str">
        <x:v>Days 15 to 25 compare against the real baseline</x:v>
      </x:c>
      <x:c r="C122" s="13" t="str">
        <x:v>Accuracy gate: 100% of completed operations have the expected service, local-time window, amount or approved cap, policy acknowledgement, provider identifier and reconciled final state. Do not count a mere pending request as completed. For an allowed price increase after inspection, log it as outside fixed-price eligibility rather than quietly revise the offer.</x:v>
      </x:c>
    </x:row>
    <x:row r="123" ht="51" customHeight="1">
      <x:c r="A123" s="8" t="str">
        <x:v>Decision framework</x:v>
      </x:c>
      <x:c r="B123" s="8" t="str">
        <x:v>Days 26 to 30 decide on economics and distribution</x:v>
      </x:c>
      <x:c r="C123" s="8" t="str">
        <x:v>Use observed intent rate, staff savings, upstream costs, support and supplier acceptance to model conservative monthly unit economics. Separate repeat use from scheduled service occurrence. Seek paid continuation through an authorized commercial process; a favorable interview alone is not willingness to pay.</x:v>
      </x:c>
    </x:row>
    <x:row r="124" ht="64" customHeight="1">
      <x:c r="A124" s="13" t="str">
        <x:v>Decision framework</x:v>
      </x:c>
      <x:c r="B124" s="13" t="str">
        <x:v>Days 26 to 30 decide on economics and distribution</x:v>
      </x:c>
      <x:c r="C124" s="13" t="str">
        <x:v>Commercial gate: at least two operators or one distribution partner agrees to a bounded paid continuation at a price that gives at least 50% contribution margin after all measured variable costs, while leaving the payer at least two times the fee in measured labor or incremental contribution value. These are proposed hurdle rates and may be revised before the experiment begins, not after looking at results.</x:v>
      </x:c>
    </x:row>
    <x:row r="125" ht="64" customHeight="1">
      <x:c r="A125" s="8" t="str">
        <x:v>Decision framework</x:v>
      </x:c>
      <x:c r="B125" s="8" t="str">
        <x:v>Days 26 to 30 decide on economics and distribution</x:v>
      </x:c>
      <x:c r="C125" s="8" t="str">
        <x:v>Distribution gate: the channel can repeatedly generate the measured qualified intent volume without relying on founder-generated test tasks or a one-off publicity spike. Track cost per qualified household and operation; do not extrapolate from total partner users or total supplier visits. At least two repeat interactions by an exposed eligible household are a useful leading signal but are not 90-day retention.</x:v>
      </x:c>
    </x:row>
    <x:row r="126" ht="77" customHeight="1">
      <x:c r="A126" s="13" t="str">
        <x:v>Decision framework</x:v>
      </x:c>
      <x:c r="B126" s="13" t="str">
        <x:v>Days 26 to 30 decide on economics and distribution</x:v>
      </x:c>
      <x:c r="C126" s="13" t="str">
        <x:v>Decision: go only if access, scope, safety, meaningful time saved, paid continuation and credible distribution all pass. A technical pass with no volume means a working integration, not product-market fit. A commercial pass with heavy manual work means a service operation whose staffing economics must be acknowledged. If results are insufficient, extend a specifically justified evidence collection period or stop; do not manufacture certainty from three website observations.</x:v>
      </x:c>
    </x:row>
    <x:row r="127" ht="64" customHeight="1">
      <x:c r="A127" s="8" t="str">
        <x:v>Decision framework</x:v>
      </x:c>
      <x:c r="B127" s="8" t="str">
        <x:v>Reading this alongside the live observations</x:v>
      </x:c>
      <x:c r="C127" s="8" t="str">
        <x:v>The separate live-flow log supplies direct evidence of specific providers and interfaces. It can update the score rationale and generate hypotheses about failure modes. It cannot validate merchant API access, postcommit reliability, representative demand, true abandonment or the measured value of an API counterfactual. These require permissioned partner data and the proposed pilot.</x:v>
      </x:c>
    </x:row>
    <x:row r="128" ht="51" customHeight="1">
      <x:c r="A128" s="13" t="str">
        <x:v>Workbook</x:v>
      </x:c>
      <x:c r="B128" s="13" t="str">
        <x:v>Evidence and calculations</x:v>
      </x:c>
      <x:c r="C128" s="13" t="str">
        <x:v>Timing uses Excel date serials from exact UTC source timestamps. Per-attempt elapsed = ROUND((stop − start) × 86,400, 3). Category min/median/max use exactly the three core rows for that category. Extras never enter the core summaries. Raw ISO timestamps are preserved in Live detail.</x:v>
      </x:c>
    </x:row>
    <x:row r="129" ht="51" customHeight="1">
      <x:c r="A129" s="8" t="str">
        <x:v>Workbook</x:v>
      </x:c>
      <x:c r="B129" s="8" t="str">
        <x:v>Reproducibility and privacy</x:v>
      </x:c>
      <x:c r="C129" s="8" t="str">
        <x:v>Original per-attempt evidence is preserved as field-level records except local evidence-file paths, session analytics URLs and unnecessary staff names. The historical audit is aggregate/anonymized; no raw personal transcript is included.</x:v>
      </x:c>
    </x:row>
    <x:row r="130" ht="51" customHeight="1">
      <x:c r="A130" s="13" t="str">
        <x:v>Workbook</x:v>
      </x:c>
      <x:c r="B130" s="13" t="str">
        <x:v>Editing and refresh</x:v>
      </x:c>
      <x:c r="C130" s="13" t="str">
        <x:v>Amber Economics cells are assumptions. Change only inputs to recalculate their dependent results. Categories and API matrices are dated source/judgment snapshots; research and replace their evidence before updating scores. A new live row requires extending summary references and preserving sample-role flags.</x:v>
      </x:c>
    </x:row>
    <x:row r="131" ht="64" customHeight="1">
      <x:c r="A131" s="8" t="str">
        <x:v>Workbook</x:v>
      </x:c>
      <x:c r="B131" s="8" t="str">
        <x:v>Scope boundaries</x:v>
      </x:c>
      <x:c r="C131" s="8" t="str">
        <x:v>No third-party supplier contact, quote or lead submission, API execution, personal-data transmission, deliberate reservation-hold action, payment, or explicit booking commitment occurred. Some widgets auto-selected default times; implicit hold semantics remain unverified. Quotes encountered remained unsubmitted, not pending. Phone necessity remains unknown.</x:v>
      </x:c>
    </x:row>
  </x:sheetData>
  <x:pageMargins left="0.7" right="0.7" top="0.75" bottom="0.75" header="0.3" footer="0.3"/>
  <x:tableParts count="1">
    <x:tablePart xmlns:r="http://schemas.openxmlformats.org/officeDocument/2006/relationships" r:id="R0c00a179606b4f9d"/>
  </x:tableParts>
</x:worksheet>
</file>